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废水" sheetId="1" state="visible" r:id="rId1"/>
    <sheet name="废气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<sst xmlns="http://schemas.openxmlformats.org/spreadsheetml/2006/main" count="56" uniqueCount="56">
  <si>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2024年第1季度废水实际排放量计算结果</t>
  </si>
  <si>
    <t>月份</t>
  </si>
  <si>
    <t>用水量m³</t>
  </si>
  <si>
    <t>排放量m³</t>
  </si>
  <si>
    <t>累计运行时间d</t>
  </si>
  <si>
    <t>流量m³/d</t>
  </si>
  <si>
    <t>排放口</t>
  </si>
  <si>
    <t>污染物名称</t>
  </si>
  <si>
    <t>1月</t>
  </si>
  <si>
    <t>2月</t>
  </si>
  <si>
    <t>3月</t>
  </si>
  <si>
    <t>合计</t>
  </si>
  <si>
    <t>浓度mg/L</t>
  </si>
  <si>
    <t>实际排放量t</t>
  </si>
  <si>
    <t>总排放口</t>
  </si>
  <si>
    <t>COD</t>
  </si>
  <si>
    <t>氨氮</t>
  </si>
  <si>
    <t>六价铬</t>
  </si>
  <si>
    <t>石油类</t>
  </si>
  <si>
    <t>悬浮物</t>
  </si>
  <si>
    <t>氟化物</t>
  </si>
  <si>
    <t>铅</t>
  </si>
  <si>
    <t>镍</t>
  </si>
  <si>
    <t>铬</t>
  </si>
  <si>
    <t>BOD5</t>
  </si>
  <si>
    <t>总氮</t>
  </si>
  <si>
    <t>总磷</t>
  </si>
  <si>
    <t>Ph</t>
  </si>
  <si>
    <t>废水排放量m³</t>
  </si>
  <si>
    <t>污染物排放量t</t>
  </si>
  <si>
    <t>2024年第1季度废气实际排放量计算结果</t>
  </si>
  <si>
    <t>浓度mg/m³</t>
  </si>
  <si>
    <t>排气量m³/h</t>
  </si>
  <si>
    <t>累计运行时间h</t>
  </si>
  <si>
    <t>背层</t>
  </si>
  <si>
    <t>颗粒物</t>
  </si>
  <si>
    <t>面层</t>
  </si>
  <si>
    <t>面层二层</t>
  </si>
  <si>
    <t>中频炉</t>
  </si>
  <si>
    <t>焙烧炉</t>
  </si>
  <si>
    <t>切割</t>
  </si>
  <si>
    <t>喷砂北</t>
  </si>
  <si>
    <t>喷砂南</t>
  </si>
  <si>
    <t>精磨</t>
  </si>
  <si>
    <t>抛光</t>
  </si>
  <si>
    <t>燃气锅炉</t>
  </si>
  <si>
    <t>真空热水锅炉</t>
  </si>
  <si>
    <t>总计</t>
  </si>
  <si>
    <t>NOX</t>
  </si>
  <si>
    <t>装配酸雾塔</t>
  </si>
  <si>
    <t>后整理酸雾塔</t>
  </si>
  <si>
    <t>SO2</t>
  </si>
  <si>
    <t>组树</t>
  </si>
  <si>
    <t>VOC</t>
  </si>
  <si>
    <t>小计</t>
  </si>
  <si>
    <t>氯化氢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</si>
</sst>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0">
    <numFmt numFmtId="164" formatCode="_ &quot;￥&quot;* #,##0_ ;_ &quot;￥&quot;* \-#,##0_ ;_ &quot;￥&quot;* &quot;-&quot;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* #,##0.00_ ;_ * \-#,##0.00_ ;_ * &quot;-&quot;??_ ;_ @_ "/>
    <numFmt numFmtId="168" formatCode="0;[Red]0"/>
    <numFmt numFmtId="169" formatCode="0.0000_ "/>
    <numFmt numFmtId="170" formatCode="0.00000_ "/>
    <numFmt numFmtId="171" formatCode="0.000000_ "/>
    <numFmt numFmtId="172" formatCode="0.0000;[Red]0.0000"/>
    <numFmt numFmtId="173" formatCode="0.00000;[Red]0.00000"/>
  </numFmts>
  <fonts count="24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b/>
      <sz val="11.000000"/>
      <color theme="3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6.000000"/>
      <color theme="1"/>
      <name val="Calibri"/>
      <scheme val="minor"/>
    </font>
    <font>
      <sz val="10.000000"/>
      <color indexed="64"/>
      <name val="Calibri"/>
      <scheme val="minor"/>
    </font>
    <font>
      <sz val="10.000000"/>
      <color theme="1"/>
      <name val="Calibri"/>
      <scheme val="minor"/>
    </font>
    <font>
      <sz val="10.500000"/>
      <color theme="1"/>
      <name val="宋体"/>
    </font>
    <font>
      <sz val="10.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398"/>
      </patternFill>
    </fill>
    <fill>
      <patternFill patternType="solid">
        <fgColor indexed="47"/>
      </patternFill>
    </fill>
    <fill>
      <patternFill patternType="solid">
        <fgColor theme="6" tint="0.59999389629810496"/>
      </patternFill>
    </fill>
    <fill>
      <patternFill patternType="solid">
        <fgColor rgb="FFFFC7CE"/>
      </patternFill>
    </fill>
    <fill>
      <patternFill patternType="solid">
        <fgColor theme="6" tint="0.39997558519241899"/>
      </patternFill>
    </fill>
    <fill>
      <patternFill patternType="solid">
        <fgColor indexed="26"/>
      </patternFill>
    </fill>
    <fill>
      <patternFill patternType="solid">
        <fgColor theme="5" tint="0.39997558519241899"/>
      </patternFill>
    </fill>
    <fill>
      <patternFill patternType="solid">
        <fgColor theme="4" tint="0.39997558519241899"/>
      </patternFill>
    </fill>
    <fill>
      <patternFill patternType="solid">
        <fgColor theme="7" tint="0.399975585192418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398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398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2" borderId="0" numFmtId="0" applyNumberFormat="0" applyFont="1" applyFill="1" applyBorder="0" applyProtection="0">
      <alignment vertical="center"/>
    </xf>
    <xf fontId="1" fillId="3" borderId="1" numFmtId="0" applyNumberFormat="0" applyFont="1" applyFill="1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3" fillId="6" borderId="0" numFmtId="0" applyNumberFormat="0" applyFont="1" applyFill="1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0" fillId="7" borderId="2" numFmtId="0" applyNumberFormat="0" applyFont="0" applyFill="1" applyBorder="1" applyProtection="0">
      <alignment vertical="center"/>
    </xf>
    <xf fontId="3" fillId="8" borderId="0" numFmtId="0" applyNumberFormat="0" applyFont="1" applyFill="1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0" borderId="3" numFmtId="0" applyNumberFormat="0" applyFont="1" applyFill="0" applyBorder="1" applyProtection="0">
      <alignment vertical="center"/>
    </xf>
    <xf fontId="11" fillId="0" borderId="3" numFmtId="0" applyNumberFormat="0" applyFont="1" applyFill="0" applyBorder="1" applyProtection="0">
      <alignment vertical="center"/>
    </xf>
    <xf fontId="3" fillId="9" borderId="0" numFmtId="0" applyNumberFormat="0" applyFont="1" applyFill="1" applyBorder="0" applyProtection="0">
      <alignment vertical="center"/>
    </xf>
    <xf fontId="6" fillId="0" borderId="4" numFmtId="0" applyNumberFormat="0" applyFont="1" applyFill="0" applyBorder="1" applyProtection="0">
      <alignment vertical="center"/>
    </xf>
    <xf fontId="3" fillId="10" borderId="0" numFmtId="0" applyNumberFormat="0" applyFont="1" applyFill="1" applyBorder="0" applyProtection="0">
      <alignment vertical="center"/>
    </xf>
    <xf fontId="12" fillId="11" borderId="5" numFmtId="0" applyNumberFormat="0" applyFont="1" applyFill="1" applyBorder="1" applyProtection="0">
      <alignment vertical="center"/>
    </xf>
    <xf fontId="13" fillId="11" borderId="1" numFmtId="0" applyNumberFormat="0" applyFont="1" applyFill="1" applyBorder="1" applyProtection="0">
      <alignment vertical="center"/>
    </xf>
    <xf fontId="14" fillId="12" borderId="6" numFmtId="0" applyNumberFormat="0" applyFont="1" applyFill="1" applyBorder="1" applyProtection="0">
      <alignment vertical="center"/>
    </xf>
    <xf fontId="0" fillId="13" borderId="0" numFmtId="0" applyNumberFormat="0" applyFont="1" applyFill="1" applyBorder="0" applyProtection="0">
      <alignment vertical="center"/>
    </xf>
    <xf fontId="3" fillId="14" borderId="0" numFmtId="0" applyNumberFormat="0" applyFont="1" applyFill="1" applyBorder="0" applyProtection="0">
      <alignment vertical="center"/>
    </xf>
    <xf fontId="15" fillId="0" borderId="7" numFmtId="0" applyNumberFormat="0" applyFont="1" applyFill="0" applyBorder="1" applyProtection="0">
      <alignment vertical="center"/>
    </xf>
    <xf fontId="16" fillId="0" borderId="8" numFmtId="0" applyNumberFormat="0" applyFont="1" applyFill="0" applyBorder="1" applyProtection="0">
      <alignment vertical="center"/>
    </xf>
    <xf fontId="17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0" fillId="17" borderId="0" numFmtId="0" applyNumberFormat="0" applyFont="1" applyFill="1" applyBorder="0" applyProtection="0">
      <alignment vertical="center"/>
    </xf>
    <xf fontId="3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0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3" fillId="23" borderId="0" numFmtId="0" applyNumberFormat="0" applyFont="1" applyFill="1" applyBorder="0" applyProtection="0">
      <alignment vertical="center"/>
    </xf>
    <xf fontId="3" fillId="24" borderId="0" numFmtId="0" applyNumberFormat="0" applyFont="1" applyFill="1" applyBorder="0" applyProtection="0">
      <alignment vertical="center"/>
    </xf>
    <xf fontId="0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3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3" fillId="29" borderId="0" numFmtId="0" applyNumberFormat="0" applyFont="1" applyFill="1" applyBorder="0" applyProtection="0">
      <alignment vertical="center"/>
    </xf>
    <xf fontId="3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3" fillId="32" borderId="0" numFmtId="0" applyNumberFormat="0" applyFont="1" applyFill="1" applyBorder="0" applyProtection="0">
      <alignment vertical="center"/>
    </xf>
  </cellStyleXfs>
  <cellXfs count="33"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19" fillId="0" borderId="0" numFmtId="0" xfId="0" applyFont="1" applyAlignment="1">
      <alignment horizontal="center" vertical="center"/>
    </xf>
    <xf fontId="19" fillId="0" borderId="0" numFmtId="0" xfId="0" applyFont="1" applyAlignment="1">
      <alignment horizontal="center" vertical="center" wrapText="1"/>
    </xf>
    <xf fontId="0" fillId="0" borderId="9" numFmtId="0" xfId="0" applyBorder="1" applyAlignment="1">
      <alignment horizontal="center" vertical="center"/>
    </xf>
    <xf fontId="20" fillId="0" borderId="9" numFmtId="0" xfId="0" applyFont="1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9" numFmtId="168" xfId="0" applyNumberFormat="1" applyBorder="1" applyAlignment="1">
      <alignment horizontal="center" vertical="center"/>
    </xf>
    <xf fontId="20" fillId="0" borderId="9" numFmtId="169" xfId="0" applyNumberFormat="1" applyFont="1" applyBorder="1" applyAlignment="1">
      <alignment horizontal="center" vertical="center" wrapText="1"/>
    </xf>
    <xf fontId="0" fillId="0" borderId="9" numFmtId="0" xfId="0" applyBorder="1" applyAlignment="1">
      <alignment horizontal="center" vertical="center" wrapText="1"/>
    </xf>
    <xf fontId="20" fillId="0" borderId="9" numFmtId="170" xfId="0" applyNumberFormat="1" applyFont="1" applyBorder="1" applyAlignment="1">
      <alignment horizontal="center" vertical="center" wrapText="1"/>
    </xf>
    <xf fontId="20" fillId="0" borderId="9" numFmtId="171" xfId="0" applyNumberFormat="1" applyFont="1" applyBorder="1" applyAlignment="1">
      <alignment horizontal="center" vertical="center" wrapText="1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horizontal="center" vertical="center" wrapText="1"/>
    </xf>
    <xf fontId="0" fillId="0" borderId="12" numFmtId="0" xfId="0" applyBorder="1" applyAlignment="1">
      <alignment horizontal="center" vertical="center"/>
    </xf>
    <xf fontId="0" fillId="0" borderId="9" numFmtId="0" xfId="0" applyBorder="1" applyAlignment="1">
      <alignment vertical="center" wrapText="1"/>
    </xf>
    <xf fontId="0" fillId="0" borderId="9" numFmtId="171" xfId="0" applyNumberFormat="1" applyBorder="1" applyAlignment="1">
      <alignment vertical="center" wrapText="1"/>
    </xf>
    <xf fontId="0" fillId="0" borderId="9" numFmtId="0" xfId="0" applyBorder="1" applyAlignment="1">
      <alignment vertical="center"/>
    </xf>
    <xf fontId="0" fillId="0" borderId="9" numFmtId="171" xfId="0" applyNumberFormat="1" applyBorder="1" applyAlignment="1">
      <alignment vertical="center"/>
    </xf>
    <xf fontId="20" fillId="0" borderId="9" numFmtId="0" xfId="0" applyFont="1" applyBorder="1" applyAlignment="1">
      <alignment horizontal="center" vertical="center"/>
    </xf>
    <xf fontId="21" fillId="0" borderId="9" numFmtId="0" xfId="0" applyFont="1" applyBorder="1" applyAlignment="1">
      <alignment horizontal="center" vertical="center"/>
    </xf>
    <xf fontId="22" fillId="0" borderId="9" numFmtId="0" xfId="0" applyFont="1" applyBorder="1" applyAlignment="1">
      <alignment horizontal="center" vertical="center"/>
    </xf>
    <xf fontId="21" fillId="0" borderId="9" numFmtId="172" xfId="0" applyNumberFormat="1" applyFont="1" applyBorder="1" applyAlignment="1">
      <alignment horizontal="center" vertical="center"/>
    </xf>
    <xf fontId="20" fillId="0" borderId="9" numFmtId="0" xfId="0" applyFont="1" applyBorder="1" applyAlignment="1">
      <alignment horizontal="justify" vertical="center"/>
    </xf>
    <xf fontId="23" fillId="33" borderId="9" numFmtId="172" xfId="0" applyNumberFormat="1" applyFont="1" applyFill="1" applyBorder="1" applyAlignment="1">
      <alignment horizontal="center" vertical="center"/>
    </xf>
    <xf fontId="20" fillId="0" borderId="9" numFmtId="169" xfId="0" applyNumberFormat="1" applyFont="1" applyBorder="1" applyAlignment="1">
      <alignment horizontal="center" vertical="center"/>
    </xf>
    <xf fontId="22" fillId="0" borderId="0" numFmtId="0" xfId="0" applyFont="1" applyAlignment="1">
      <alignment horizontal="center" vertical="center"/>
    </xf>
    <xf fontId="21" fillId="33" borderId="9" numFmtId="172" xfId="0" applyNumberFormat="1" applyFont="1" applyFill="1" applyBorder="1" applyAlignment="1">
      <alignment horizontal="center" vertical="center"/>
    </xf>
    <xf fontId="21" fillId="0" borderId="9" numFmtId="173" xfId="0" applyNumberFormat="1" applyFont="1" applyBorder="1" applyAlignment="1">
      <alignment horizontal="center" vertical="center"/>
    </xf>
    <xf fontId="20" fillId="0" borderId="9" numFmtId="172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4" zoomScale="100" workbookViewId="0">
      <selection activeCell="Q22" activeCellId="0" sqref="Q22"/>
    </sheetView>
  </sheetViews>
  <sheetFormatPr defaultColWidth="9" defaultRowHeight="14.25"/>
  <cols>
    <col customWidth="1" min="1" max="1" width="7.25"/>
    <col customWidth="1" min="2" max="2" width="9.375"/>
    <col customWidth="1" min="3" max="3" width="7.75"/>
    <col customWidth="1" min="4" max="4" width="7.25"/>
    <col customWidth="1" min="5" max="5" width="9.5"/>
    <col customWidth="1" min="6" max="6" style="1" width="9.375"/>
    <col min="7" max="7" style="1" width="9"/>
    <col min="8" max="8" style="1" width="12.625"/>
    <col min="10" max="10" width="9.25"/>
    <col min="11" max="11" width="12.625"/>
    <col min="14" max="14" width="12.625"/>
    <col min="15" max="15" width="10.125"/>
  </cols>
  <sheetData>
    <row r="3" ht="21">
      <c r="A3" s="2" t="s">
        <v>0</v>
      </c>
      <c r="B3" s="2"/>
      <c r="C3" s="2"/>
      <c r="D3" s="2"/>
      <c r="E3" s="2"/>
      <c r="F3" s="3"/>
      <c r="G3" s="3"/>
      <c r="H3" s="3"/>
      <c r="I3" s="2"/>
      <c r="J3" s="2"/>
      <c r="K3" s="2"/>
      <c r="L3" s="2"/>
      <c r="M3" s="2"/>
      <c r="N3" s="2"/>
      <c r="O3" s="2"/>
    </row>
    <row r="5" ht="27">
      <c r="A5" s="4" t="s">
        <v>1</v>
      </c>
      <c r="B5" s="4" t="s">
        <v>2</v>
      </c>
      <c r="C5" s="4" t="s">
        <v>3</v>
      </c>
      <c r="D5" s="5" t="s">
        <v>4</v>
      </c>
      <c r="E5" s="5" t="s">
        <v>5</v>
      </c>
      <c r="F5" s="6"/>
      <c r="G5" s="6"/>
      <c r="H5" s="6"/>
    </row>
    <row r="6">
      <c r="A6" s="4">
        <v>1</v>
      </c>
      <c r="B6" s="4">
        <v>4785</v>
      </c>
      <c r="C6" s="4">
        <v>1664</v>
      </c>
      <c r="D6" s="4">
        <v>24</v>
      </c>
      <c r="E6" s="7">
        <f t="shared" ref="E6:E8" si="0">C6/D6</f>
        <v>69.3333333333333</v>
      </c>
      <c r="F6" s="6"/>
      <c r="G6" s="6"/>
      <c r="H6" s="6"/>
    </row>
    <row r="7">
      <c r="A7" s="4">
        <v>2</v>
      </c>
      <c r="B7" s="4">
        <v>2754</v>
      </c>
      <c r="C7" s="4">
        <v>958</v>
      </c>
      <c r="D7" s="4">
        <v>15</v>
      </c>
      <c r="E7" s="7">
        <f t="shared" si="0"/>
        <v>63.866666666666703</v>
      </c>
      <c r="F7" s="6"/>
      <c r="G7" s="6"/>
      <c r="H7" s="6"/>
    </row>
    <row r="8">
      <c r="A8" s="4">
        <v>3</v>
      </c>
      <c r="B8" s="4">
        <v>3386</v>
      </c>
      <c r="C8" s="4">
        <v>1177</v>
      </c>
      <c r="D8" s="4">
        <v>29</v>
      </c>
      <c r="E8" s="7">
        <f t="shared" si="0"/>
        <v>40.586206896551701</v>
      </c>
      <c r="F8" s="6"/>
      <c r="G8" s="6"/>
      <c r="H8" s="6"/>
    </row>
    <row r="12">
      <c r="A12" s="5" t="s">
        <v>6</v>
      </c>
      <c r="B12" s="5" t="s">
        <v>7</v>
      </c>
      <c r="C12" s="5" t="s">
        <v>8</v>
      </c>
      <c r="D12" s="5"/>
      <c r="E12" s="5"/>
      <c r="F12" s="5"/>
      <c r="G12" s="5" t="s">
        <v>9</v>
      </c>
      <c r="H12" s="5"/>
      <c r="I12" s="5"/>
      <c r="J12" s="5"/>
      <c r="K12" s="5" t="s">
        <v>10</v>
      </c>
      <c r="L12" s="5"/>
      <c r="M12" s="5"/>
      <c r="N12" s="5"/>
      <c r="O12" s="5" t="s">
        <v>11</v>
      </c>
    </row>
    <row r="13" ht="27">
      <c r="A13" s="5"/>
      <c r="B13" s="5"/>
      <c r="C13" s="5" t="s">
        <v>12</v>
      </c>
      <c r="D13" s="5" t="s">
        <v>5</v>
      </c>
      <c r="E13" s="5" t="s">
        <v>4</v>
      </c>
      <c r="F13" s="5" t="s">
        <v>13</v>
      </c>
      <c r="G13" s="5" t="s">
        <v>12</v>
      </c>
      <c r="H13" s="5" t="s">
        <v>5</v>
      </c>
      <c r="I13" s="5" t="s">
        <v>4</v>
      </c>
      <c r="J13" s="5" t="s">
        <v>13</v>
      </c>
      <c r="K13" s="5" t="s">
        <v>12</v>
      </c>
      <c r="L13" s="5" t="s">
        <v>5</v>
      </c>
      <c r="M13" s="5" t="s">
        <v>4</v>
      </c>
      <c r="N13" s="5" t="s">
        <v>13</v>
      </c>
      <c r="O13" s="5"/>
    </row>
    <row r="14" ht="27">
      <c r="A14" s="5" t="s">
        <v>14</v>
      </c>
      <c r="B14" s="5" t="s">
        <v>15</v>
      </c>
      <c r="C14" s="5">
        <v>488</v>
      </c>
      <c r="D14" s="4">
        <v>69</v>
      </c>
      <c r="E14" s="4">
        <v>24</v>
      </c>
      <c r="F14" s="8">
        <v>0.80812799999999996</v>
      </c>
      <c r="G14" s="5">
        <v>488</v>
      </c>
      <c r="H14" s="9">
        <v>64</v>
      </c>
      <c r="I14" s="4">
        <v>15</v>
      </c>
      <c r="J14" s="8">
        <v>0.46848000000000001</v>
      </c>
      <c r="K14" s="5">
        <v>488</v>
      </c>
      <c r="L14" s="4">
        <v>41</v>
      </c>
      <c r="M14" s="4">
        <v>29</v>
      </c>
      <c r="N14" s="8">
        <v>0.58023199999999997</v>
      </c>
      <c r="O14" s="8">
        <v>1.85684</v>
      </c>
    </row>
    <row r="15">
      <c r="A15" s="5"/>
      <c r="B15" s="5" t="s">
        <v>16</v>
      </c>
      <c r="C15" s="5">
        <v>15.6</v>
      </c>
      <c r="D15" s="4">
        <v>69</v>
      </c>
      <c r="E15" s="4">
        <v>24</v>
      </c>
      <c r="F15" s="8">
        <v>0.025833600000000002</v>
      </c>
      <c r="G15" s="5">
        <v>15.6</v>
      </c>
      <c r="H15" s="9">
        <v>64</v>
      </c>
      <c r="I15" s="4">
        <v>15</v>
      </c>
      <c r="J15" s="8">
        <v>0.014976</v>
      </c>
      <c r="K15" s="5">
        <v>15.6</v>
      </c>
      <c r="L15" s="4">
        <v>41</v>
      </c>
      <c r="M15" s="4">
        <v>29</v>
      </c>
      <c r="N15" s="8">
        <v>0.0185484</v>
      </c>
      <c r="O15" s="8">
        <v>0.059358000000000001</v>
      </c>
    </row>
    <row r="16">
      <c r="A16" s="5"/>
      <c r="B16" s="5" t="s">
        <v>17</v>
      </c>
      <c r="C16" s="5">
        <v>0.39100000000000001</v>
      </c>
      <c r="D16" s="4">
        <v>69</v>
      </c>
      <c r="E16" s="4">
        <v>24</v>
      </c>
      <c r="F16" s="10">
        <v>0.00064749600000000001</v>
      </c>
      <c r="G16" s="5">
        <v>0.39100000000000001</v>
      </c>
      <c r="H16" s="9">
        <v>64</v>
      </c>
      <c r="I16" s="4">
        <v>15</v>
      </c>
      <c r="J16" s="10">
        <v>0.00037535999999999998</v>
      </c>
      <c r="K16" s="5">
        <v>0.39100000000000001</v>
      </c>
      <c r="L16" s="4">
        <v>41</v>
      </c>
      <c r="M16" s="4">
        <v>29</v>
      </c>
      <c r="N16" s="10">
        <v>0.00046489900000000001</v>
      </c>
      <c r="O16" s="8">
        <v>0.0014877549999999999</v>
      </c>
    </row>
    <row r="17">
      <c r="A17" s="5"/>
      <c r="B17" s="5" t="s">
        <v>18</v>
      </c>
      <c r="C17" s="5">
        <v>0.32000000000000001</v>
      </c>
      <c r="D17" s="4">
        <v>69</v>
      </c>
      <c r="E17" s="4">
        <v>24</v>
      </c>
      <c r="F17" s="10">
        <v>0.00052992000000000002</v>
      </c>
      <c r="G17" s="5">
        <v>0.32000000000000001</v>
      </c>
      <c r="H17" s="9">
        <v>64</v>
      </c>
      <c r="I17" s="4">
        <v>15</v>
      </c>
      <c r="J17" s="10">
        <v>0.00030719999999999999</v>
      </c>
      <c r="K17" s="5">
        <v>0.32000000000000001</v>
      </c>
      <c r="L17" s="4">
        <v>41</v>
      </c>
      <c r="M17" s="4">
        <v>29</v>
      </c>
      <c r="N17" s="10">
        <v>0.00038047999999999999</v>
      </c>
      <c r="O17" s="8">
        <v>0.0012176000000000001</v>
      </c>
    </row>
    <row r="18">
      <c r="A18" s="5"/>
      <c r="B18" s="5" t="s">
        <v>19</v>
      </c>
      <c r="C18" s="5">
        <v>37</v>
      </c>
      <c r="D18" s="4">
        <v>69</v>
      </c>
      <c r="E18" s="4">
        <v>24</v>
      </c>
      <c r="F18" s="8">
        <v>0.061272</v>
      </c>
      <c r="G18" s="5">
        <v>37</v>
      </c>
      <c r="H18" s="9">
        <v>64</v>
      </c>
      <c r="I18" s="4">
        <v>15</v>
      </c>
      <c r="J18" s="8">
        <v>0.035520000000000003</v>
      </c>
      <c r="K18" s="5">
        <v>37</v>
      </c>
      <c r="L18" s="4">
        <v>41</v>
      </c>
      <c r="M18" s="4">
        <v>29</v>
      </c>
      <c r="N18" s="8">
        <v>0.043992999999999997</v>
      </c>
      <c r="O18" s="8">
        <v>0.14078499999999999</v>
      </c>
    </row>
    <row r="19">
      <c r="A19" s="5"/>
      <c r="B19" s="5" t="s">
        <v>20</v>
      </c>
      <c r="C19" s="5">
        <v>8.0999999999999996</v>
      </c>
      <c r="D19" s="4">
        <v>69</v>
      </c>
      <c r="E19" s="4">
        <v>24</v>
      </c>
      <c r="F19" s="8">
        <v>0.013413599999999999</v>
      </c>
      <c r="G19" s="5">
        <v>8.0999999999999996</v>
      </c>
      <c r="H19" s="9">
        <v>64</v>
      </c>
      <c r="I19" s="4">
        <v>15</v>
      </c>
      <c r="J19" s="8">
        <v>0.0077759999999999999</v>
      </c>
      <c r="K19" s="5">
        <v>8.0999999999999996</v>
      </c>
      <c r="L19" s="4">
        <v>41</v>
      </c>
      <c r="M19" s="4">
        <v>29</v>
      </c>
      <c r="N19" s="8">
        <v>0.0096308999999999995</v>
      </c>
      <c r="O19" s="8">
        <v>0.030820500000000001</v>
      </c>
    </row>
    <row r="20">
      <c r="A20" s="5"/>
      <c r="B20" s="5" t="s">
        <v>21</v>
      </c>
      <c r="C20" s="5">
        <v>0.025000000000000001</v>
      </c>
      <c r="D20" s="4">
        <v>69</v>
      </c>
      <c r="E20" s="4">
        <v>24</v>
      </c>
      <c r="F20" s="11">
        <v>4.1399999999999997e-05</v>
      </c>
      <c r="G20" s="5">
        <v>0.025000000000000001</v>
      </c>
      <c r="H20" s="9">
        <v>64</v>
      </c>
      <c r="I20" s="4">
        <v>15</v>
      </c>
      <c r="J20" s="11">
        <v>2.4000000000000001e-05</v>
      </c>
      <c r="K20" s="5">
        <v>0.025000000000000001</v>
      </c>
      <c r="L20" s="4">
        <v>41</v>
      </c>
      <c r="M20" s="4">
        <v>29</v>
      </c>
      <c r="N20" s="11">
        <v>2.9725000000000001e-05</v>
      </c>
      <c r="O20" s="8">
        <v>9.5124999999999995e-05</v>
      </c>
    </row>
    <row r="21">
      <c r="A21" s="5"/>
      <c r="B21" s="5" t="s">
        <v>22</v>
      </c>
      <c r="C21" s="5">
        <v>0.35999999999999999</v>
      </c>
      <c r="D21" s="4">
        <v>69</v>
      </c>
      <c r="E21" s="4">
        <v>24</v>
      </c>
      <c r="F21" s="11">
        <v>0.00059615999999999998</v>
      </c>
      <c r="G21" s="5">
        <v>0.35999999999999999</v>
      </c>
      <c r="H21" s="9">
        <v>64</v>
      </c>
      <c r="I21" s="4">
        <v>15</v>
      </c>
      <c r="J21" s="11">
        <v>0.0003456</v>
      </c>
      <c r="K21" s="5">
        <v>0.35999999999999999</v>
      </c>
      <c r="L21" s="4">
        <v>41</v>
      </c>
      <c r="M21" s="4">
        <v>29</v>
      </c>
      <c r="N21" s="11">
        <v>0.00042803999999999997</v>
      </c>
      <c r="O21" s="8">
        <v>0.0013698</v>
      </c>
    </row>
    <row r="22">
      <c r="A22" s="5"/>
      <c r="B22" s="5" t="s">
        <v>23</v>
      </c>
      <c r="C22" s="5">
        <v>1.23</v>
      </c>
      <c r="D22" s="4">
        <v>69</v>
      </c>
      <c r="E22" s="4">
        <v>24</v>
      </c>
      <c r="F22" s="11">
        <v>0.00203688</v>
      </c>
      <c r="G22" s="5">
        <v>1.23</v>
      </c>
      <c r="H22" s="9">
        <v>64</v>
      </c>
      <c r="I22" s="4">
        <v>15</v>
      </c>
      <c r="J22" s="11">
        <v>0.0011808000000000001</v>
      </c>
      <c r="K22" s="5">
        <v>1.23</v>
      </c>
      <c r="L22" s="4">
        <v>41</v>
      </c>
      <c r="M22" s="4">
        <v>29</v>
      </c>
      <c r="N22" s="11">
        <v>0.00146247</v>
      </c>
      <c r="O22" s="8">
        <v>0.0046801500000000001</v>
      </c>
    </row>
    <row r="23">
      <c r="A23" s="5"/>
      <c r="B23" s="5" t="s">
        <v>24</v>
      </c>
      <c r="C23" s="5">
        <v>132</v>
      </c>
      <c r="D23" s="4">
        <v>69</v>
      </c>
      <c r="E23" s="4">
        <v>24</v>
      </c>
      <c r="F23" s="8">
        <v>0.21859200000000001</v>
      </c>
      <c r="G23" s="5">
        <v>132</v>
      </c>
      <c r="H23" s="9">
        <v>64</v>
      </c>
      <c r="I23" s="4">
        <v>15</v>
      </c>
      <c r="J23" s="8">
        <v>0.12672</v>
      </c>
      <c r="K23" s="5">
        <v>132</v>
      </c>
      <c r="L23" s="4">
        <v>41</v>
      </c>
      <c r="M23" s="4">
        <v>29</v>
      </c>
      <c r="N23" s="8">
        <v>0.156948</v>
      </c>
      <c r="O23" s="8">
        <v>0.50226000000000004</v>
      </c>
    </row>
    <row r="24">
      <c r="A24" s="5"/>
      <c r="B24" s="5" t="s">
        <v>25</v>
      </c>
      <c r="C24" s="5">
        <v>28.600000000000001</v>
      </c>
      <c r="D24" s="4">
        <v>69</v>
      </c>
      <c r="E24" s="4">
        <v>24</v>
      </c>
      <c r="F24" s="8">
        <v>0.047361599999999997</v>
      </c>
      <c r="G24" s="5">
        <v>28.600000000000001</v>
      </c>
      <c r="H24" s="9">
        <v>64</v>
      </c>
      <c r="I24" s="4">
        <v>15</v>
      </c>
      <c r="J24" s="8">
        <v>0.027456000000000001</v>
      </c>
      <c r="K24" s="5">
        <v>28.600000000000001</v>
      </c>
      <c r="L24" s="4">
        <v>41</v>
      </c>
      <c r="M24" s="4">
        <v>29</v>
      </c>
      <c r="N24" s="8">
        <v>0.034005399999999998</v>
      </c>
      <c r="O24" s="8">
        <v>0.108823</v>
      </c>
    </row>
    <row r="25">
      <c r="A25" s="5"/>
      <c r="B25" s="5" t="s">
        <v>26</v>
      </c>
      <c r="C25" s="5">
        <v>1.74</v>
      </c>
      <c r="D25" s="4">
        <v>69</v>
      </c>
      <c r="E25" s="4">
        <v>24</v>
      </c>
      <c r="F25" s="8">
        <v>0.0028814399999999999</v>
      </c>
      <c r="G25" s="5">
        <v>1.74</v>
      </c>
      <c r="H25" s="9">
        <v>64</v>
      </c>
      <c r="I25" s="4">
        <v>15</v>
      </c>
      <c r="J25" s="8">
        <v>0.0016704000000000001</v>
      </c>
      <c r="K25" s="5">
        <v>1.74</v>
      </c>
      <c r="L25" s="4">
        <v>41</v>
      </c>
      <c r="M25" s="4">
        <v>29</v>
      </c>
      <c r="N25" s="8">
        <v>0.0020688600000000001</v>
      </c>
      <c r="O25" s="8">
        <v>0.0066207000000000002</v>
      </c>
    </row>
    <row r="26">
      <c r="A26" s="4"/>
      <c r="B26" s="4" t="s">
        <v>27</v>
      </c>
      <c r="C26" s="12">
        <v>7.5</v>
      </c>
      <c r="D26" s="13"/>
      <c r="E26" s="13"/>
      <c r="F26" s="14"/>
      <c r="G26" s="15">
        <v>7.5</v>
      </c>
      <c r="H26" s="16"/>
      <c r="I26" s="13"/>
      <c r="J26" s="17"/>
      <c r="K26" s="12">
        <v>7.5</v>
      </c>
      <c r="L26" s="13"/>
      <c r="M26" s="13"/>
      <c r="N26" s="17"/>
      <c r="O26" s="4"/>
    </row>
    <row r="32">
      <c r="D32" s="5" t="s">
        <v>6</v>
      </c>
      <c r="E32" s="5" t="s">
        <v>7</v>
      </c>
      <c r="F32" s="9" t="s">
        <v>8</v>
      </c>
      <c r="G32" s="9"/>
      <c r="H32" s="9"/>
      <c r="I32" s="9" t="s">
        <v>9</v>
      </c>
      <c r="J32" s="9"/>
      <c r="K32" s="9"/>
      <c r="L32" s="9" t="s">
        <v>10</v>
      </c>
      <c r="M32" s="9"/>
      <c r="N32" s="9"/>
    </row>
    <row r="33" ht="27" customHeight="1">
      <c r="D33" s="5"/>
      <c r="E33" s="5"/>
      <c r="F33" s="18" t="s">
        <v>12</v>
      </c>
      <c r="G33" s="18" t="s">
        <v>28</v>
      </c>
      <c r="H33" s="18" t="s">
        <v>29</v>
      </c>
      <c r="I33" s="18" t="s">
        <v>12</v>
      </c>
      <c r="J33" s="18" t="s">
        <v>28</v>
      </c>
      <c r="K33" s="18" t="s">
        <v>29</v>
      </c>
      <c r="L33" s="18" t="s">
        <v>12</v>
      </c>
      <c r="M33" s="18" t="s">
        <v>28</v>
      </c>
      <c r="N33" s="18" t="s">
        <v>29</v>
      </c>
    </row>
    <row r="34" ht="27">
      <c r="D34" s="5" t="s">
        <v>14</v>
      </c>
      <c r="E34" s="5" t="s">
        <v>15</v>
      </c>
      <c r="F34" s="5">
        <v>488</v>
      </c>
      <c r="G34" s="18">
        <v>1664</v>
      </c>
      <c r="H34" s="19">
        <f t="shared" ref="H34:H45" si="1">G34*F34/1000000</f>
        <v>0.81203199999999998</v>
      </c>
      <c r="I34" s="5">
        <v>488</v>
      </c>
      <c r="J34" s="20">
        <v>958</v>
      </c>
      <c r="K34" s="21">
        <f t="shared" ref="K34:K45" si="2">J34*I34/1000000</f>
        <v>0.46750399999999998</v>
      </c>
      <c r="L34" s="5">
        <v>488</v>
      </c>
      <c r="M34" s="20">
        <v>1177</v>
      </c>
      <c r="N34" s="21">
        <f t="shared" ref="N34:N45" si="3">M34*L34/1000000</f>
        <v>0.574376</v>
      </c>
    </row>
    <row r="35">
      <c r="D35" s="5"/>
      <c r="E35" s="5" t="s">
        <v>16</v>
      </c>
      <c r="F35" s="5">
        <v>15.6</v>
      </c>
      <c r="G35" s="18">
        <v>1664</v>
      </c>
      <c r="H35" s="19">
        <f t="shared" si="1"/>
        <v>0.0259584</v>
      </c>
      <c r="I35" s="5">
        <v>15.6</v>
      </c>
      <c r="J35" s="20">
        <v>958</v>
      </c>
      <c r="K35" s="21">
        <f t="shared" si="2"/>
        <v>0.014944799999999999</v>
      </c>
      <c r="L35" s="5">
        <v>15.6</v>
      </c>
      <c r="M35" s="20">
        <v>1177</v>
      </c>
      <c r="N35" s="21">
        <f t="shared" si="3"/>
        <v>0.018361200000000001</v>
      </c>
    </row>
    <row r="36">
      <c r="D36" s="5"/>
      <c r="E36" s="5" t="s">
        <v>17</v>
      </c>
      <c r="F36" s="5">
        <v>0.39100000000000001</v>
      </c>
      <c r="G36" s="18">
        <v>1664</v>
      </c>
      <c r="H36" s="19">
        <f t="shared" si="1"/>
        <v>0.00065062400000000004</v>
      </c>
      <c r="I36" s="5">
        <v>0.39100000000000001</v>
      </c>
      <c r="J36" s="20">
        <v>958</v>
      </c>
      <c r="K36" s="21">
        <f t="shared" si="2"/>
        <v>0.00037457799999999998</v>
      </c>
      <c r="L36" s="5">
        <v>0.39100000000000001</v>
      </c>
      <c r="M36" s="20">
        <v>1177</v>
      </c>
      <c r="N36" s="21">
        <f t="shared" si="3"/>
        <v>0.00046020700000000002</v>
      </c>
    </row>
    <row r="37">
      <c r="D37" s="5"/>
      <c r="E37" s="5" t="s">
        <v>18</v>
      </c>
      <c r="F37" s="5">
        <v>0.32000000000000001</v>
      </c>
      <c r="G37" s="18">
        <v>1664</v>
      </c>
      <c r="H37" s="19">
        <f t="shared" si="1"/>
        <v>0.00053248</v>
      </c>
      <c r="I37" s="5">
        <v>0.32000000000000001</v>
      </c>
      <c r="J37" s="20">
        <v>958</v>
      </c>
      <c r="K37" s="21">
        <f t="shared" si="2"/>
        <v>0.00030655999999999999</v>
      </c>
      <c r="L37" s="5">
        <v>0.32000000000000001</v>
      </c>
      <c r="M37" s="20">
        <v>1177</v>
      </c>
      <c r="N37" s="21">
        <f t="shared" si="3"/>
        <v>0.00037664000000000003</v>
      </c>
    </row>
    <row r="38">
      <c r="D38" s="5"/>
      <c r="E38" s="5" t="s">
        <v>19</v>
      </c>
      <c r="F38" s="5">
        <v>37</v>
      </c>
      <c r="G38" s="18">
        <v>1664</v>
      </c>
      <c r="H38" s="19">
        <f t="shared" si="1"/>
        <v>0.061567999999999998</v>
      </c>
      <c r="I38" s="5">
        <v>37</v>
      </c>
      <c r="J38" s="20">
        <v>958</v>
      </c>
      <c r="K38" s="21">
        <f t="shared" si="2"/>
        <v>0.035445999999999998</v>
      </c>
      <c r="L38" s="5">
        <v>37</v>
      </c>
      <c r="M38" s="20">
        <v>1177</v>
      </c>
      <c r="N38" s="21">
        <f t="shared" si="3"/>
        <v>0.043548999999999997</v>
      </c>
    </row>
    <row r="39">
      <c r="D39" s="5"/>
      <c r="E39" s="5" t="s">
        <v>20</v>
      </c>
      <c r="F39" s="5">
        <v>8.0999999999999996</v>
      </c>
      <c r="G39" s="18">
        <v>1664</v>
      </c>
      <c r="H39" s="19">
        <f t="shared" si="1"/>
        <v>0.0134784</v>
      </c>
      <c r="I39" s="5">
        <v>8.0999999999999996</v>
      </c>
      <c r="J39" s="20">
        <v>958</v>
      </c>
      <c r="K39" s="21">
        <f t="shared" si="2"/>
        <v>0.0077597999999999999</v>
      </c>
      <c r="L39" s="5">
        <v>8.0999999999999996</v>
      </c>
      <c r="M39" s="20">
        <v>1177</v>
      </c>
      <c r="N39" s="21">
        <f t="shared" si="3"/>
        <v>0.0095337000000000009</v>
      </c>
    </row>
    <row r="40">
      <c r="D40" s="5"/>
      <c r="E40" s="5" t="s">
        <v>21</v>
      </c>
      <c r="F40" s="5">
        <v>0.025000000000000001</v>
      </c>
      <c r="G40" s="18">
        <v>1664</v>
      </c>
      <c r="H40" s="19">
        <f t="shared" si="1"/>
        <v>4.1600000000000002e-05</v>
      </c>
      <c r="I40" s="5">
        <v>0.025000000000000001</v>
      </c>
      <c r="J40" s="20">
        <v>958</v>
      </c>
      <c r="K40" s="21">
        <f t="shared" si="2"/>
        <v>2.3949999999999999e-05</v>
      </c>
      <c r="L40" s="5">
        <v>0.025000000000000001</v>
      </c>
      <c r="M40" s="20">
        <v>1177</v>
      </c>
      <c r="N40" s="21">
        <f t="shared" si="3"/>
        <v>2.9425e-05</v>
      </c>
    </row>
    <row r="41">
      <c r="D41" s="5"/>
      <c r="E41" s="5" t="s">
        <v>22</v>
      </c>
      <c r="F41" s="5">
        <v>0.35999999999999999</v>
      </c>
      <c r="G41" s="18">
        <v>1664</v>
      </c>
      <c r="H41" s="19">
        <f t="shared" si="1"/>
        <v>0.00059904000000000001</v>
      </c>
      <c r="I41" s="5">
        <v>0.35999999999999999</v>
      </c>
      <c r="J41" s="20">
        <v>958</v>
      </c>
      <c r="K41" s="21">
        <f t="shared" si="2"/>
        <v>0.00034487999999999999</v>
      </c>
      <c r="L41" s="5">
        <v>0.35999999999999999</v>
      </c>
      <c r="M41" s="20">
        <v>1177</v>
      </c>
      <c r="N41" s="21">
        <f t="shared" si="3"/>
        <v>0.00042371999999999999</v>
      </c>
    </row>
    <row r="42">
      <c r="D42" s="5"/>
      <c r="E42" s="5" t="s">
        <v>23</v>
      </c>
      <c r="F42" s="5">
        <v>1.23</v>
      </c>
      <c r="G42" s="18">
        <v>1664</v>
      </c>
      <c r="H42" s="19">
        <f t="shared" si="1"/>
        <v>0.0020467200000000001</v>
      </c>
      <c r="I42" s="5">
        <v>1.23</v>
      </c>
      <c r="J42" s="20">
        <v>958</v>
      </c>
      <c r="K42" s="21">
        <f t="shared" si="2"/>
        <v>0.0011783399999999999</v>
      </c>
      <c r="L42" s="5">
        <v>1.23</v>
      </c>
      <c r="M42" s="20">
        <v>1177</v>
      </c>
      <c r="N42" s="21">
        <f t="shared" si="3"/>
        <v>0.0014477100000000001</v>
      </c>
    </row>
    <row r="43">
      <c r="D43" s="5"/>
      <c r="E43" s="5" t="s">
        <v>24</v>
      </c>
      <c r="F43" s="5">
        <v>132</v>
      </c>
      <c r="G43" s="18">
        <v>1664</v>
      </c>
      <c r="H43" s="19">
        <f t="shared" si="1"/>
        <v>0.21964800000000001</v>
      </c>
      <c r="I43" s="5">
        <v>132</v>
      </c>
      <c r="J43" s="20">
        <v>958</v>
      </c>
      <c r="K43" s="21">
        <f t="shared" si="2"/>
        <v>0.12645600000000001</v>
      </c>
      <c r="L43" s="5">
        <v>132</v>
      </c>
      <c r="M43" s="20">
        <v>1177</v>
      </c>
      <c r="N43" s="21">
        <f t="shared" si="3"/>
        <v>0.155364</v>
      </c>
    </row>
    <row r="44">
      <c r="D44" s="5"/>
      <c r="E44" s="5" t="s">
        <v>25</v>
      </c>
      <c r="F44" s="5">
        <v>28.600000000000001</v>
      </c>
      <c r="G44" s="18">
        <v>1664</v>
      </c>
      <c r="H44" s="19">
        <f t="shared" si="1"/>
        <v>0.047590399999999998</v>
      </c>
      <c r="I44" s="5">
        <v>28.600000000000001</v>
      </c>
      <c r="J44" s="20">
        <v>958</v>
      </c>
      <c r="K44" s="21">
        <f t="shared" si="2"/>
        <v>0.027398800000000001</v>
      </c>
      <c r="L44" s="5">
        <v>28.600000000000001</v>
      </c>
      <c r="M44" s="20">
        <v>1177</v>
      </c>
      <c r="N44" s="21">
        <f t="shared" si="3"/>
        <v>0.033662200000000003</v>
      </c>
    </row>
    <row r="45">
      <c r="D45" s="5"/>
      <c r="E45" s="5" t="s">
        <v>26</v>
      </c>
      <c r="F45" s="5">
        <v>1.74</v>
      </c>
      <c r="G45" s="18">
        <v>1664</v>
      </c>
      <c r="H45" s="19">
        <f t="shared" si="1"/>
        <v>0.00289536</v>
      </c>
      <c r="I45" s="5">
        <v>1.74</v>
      </c>
      <c r="J45" s="20">
        <v>958</v>
      </c>
      <c r="K45" s="21">
        <f t="shared" si="2"/>
        <v>0.0016669199999999999</v>
      </c>
      <c r="L45" s="5">
        <v>1.74</v>
      </c>
      <c r="M45" s="20">
        <v>1177</v>
      </c>
      <c r="N45" s="21">
        <f t="shared" si="3"/>
        <v>0.00204798</v>
      </c>
    </row>
    <row r="46">
      <c r="D46" s="4"/>
      <c r="E46" s="4" t="s">
        <v>27</v>
      </c>
      <c r="F46" s="15">
        <v>7.5</v>
      </c>
      <c r="G46" s="16"/>
      <c r="H46" s="14"/>
      <c r="I46" s="15">
        <v>7.5</v>
      </c>
      <c r="J46" s="16"/>
      <c r="K46" s="14"/>
      <c r="L46" s="15">
        <v>7.5</v>
      </c>
      <c r="M46" s="16"/>
      <c r="N46" s="14"/>
    </row>
  </sheetData>
  <mergeCells count="18">
    <mergeCell ref="A3:O3"/>
    <mergeCell ref="A12:A13"/>
    <mergeCell ref="B12:B13"/>
    <mergeCell ref="C12:F12"/>
    <mergeCell ref="G12:J12"/>
    <mergeCell ref="K12:N12"/>
    <mergeCell ref="O12:O13"/>
    <mergeCell ref="C26:F26"/>
    <mergeCell ref="G26:J26"/>
    <mergeCell ref="K26:N26"/>
    <mergeCell ref="D32:D33"/>
    <mergeCell ref="E32:E33"/>
    <mergeCell ref="F32:H32"/>
    <mergeCell ref="I32:K32"/>
    <mergeCell ref="L32:N32"/>
    <mergeCell ref="F46:H46"/>
    <mergeCell ref="I46:K46"/>
    <mergeCell ref="L46:N4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3" zoomScale="120" workbookViewId="0">
      <selection activeCell="J35" activeCellId="0" sqref="J35"/>
    </sheetView>
  </sheetViews>
  <sheetFormatPr defaultColWidth="9" defaultRowHeight="13.5"/>
  <sheetData>
    <row r="2" ht="20.25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5" t="s">
        <v>6</v>
      </c>
      <c r="B3" s="5" t="s">
        <v>7</v>
      </c>
      <c r="C3" s="22" t="s">
        <v>8</v>
      </c>
      <c r="D3" s="22"/>
      <c r="E3" s="22"/>
      <c r="F3" s="22"/>
      <c r="G3" s="22" t="s">
        <v>9</v>
      </c>
      <c r="H3" s="22"/>
      <c r="I3" s="22"/>
      <c r="J3" s="22"/>
      <c r="K3" s="22" t="s">
        <v>10</v>
      </c>
      <c r="L3" s="22"/>
      <c r="M3" s="22"/>
      <c r="N3" s="22"/>
      <c r="O3" s="23" t="s">
        <v>11</v>
      </c>
    </row>
    <row r="4" ht="24">
      <c r="A4" s="5"/>
      <c r="B4" s="5"/>
      <c r="C4" s="5" t="s">
        <v>31</v>
      </c>
      <c r="D4" s="5" t="s">
        <v>32</v>
      </c>
      <c r="E4" s="5" t="s">
        <v>33</v>
      </c>
      <c r="F4" s="5" t="s">
        <v>13</v>
      </c>
      <c r="G4" s="5" t="s">
        <v>31</v>
      </c>
      <c r="H4" s="5" t="s">
        <v>32</v>
      </c>
      <c r="I4" s="5" t="s">
        <v>33</v>
      </c>
      <c r="J4" s="5" t="s">
        <v>13</v>
      </c>
      <c r="K4" s="5" t="s">
        <v>31</v>
      </c>
      <c r="L4" s="5" t="s">
        <v>32</v>
      </c>
      <c r="M4" s="5" t="s">
        <v>33</v>
      </c>
      <c r="N4" s="5" t="s">
        <v>13</v>
      </c>
      <c r="O4" s="23"/>
    </row>
    <row r="5">
      <c r="A5" s="5" t="s">
        <v>34</v>
      </c>
      <c r="B5" s="5" t="s">
        <v>35</v>
      </c>
      <c r="C5" s="5">
        <v>2.6000000000000001</v>
      </c>
      <c r="D5" s="24">
        <v>4377</v>
      </c>
      <c r="E5" s="5">
        <v>240</v>
      </c>
      <c r="F5" s="8">
        <v>0.0027312479999999999</v>
      </c>
      <c r="G5" s="5">
        <v>2.6000000000000001</v>
      </c>
      <c r="H5" s="24">
        <v>4377</v>
      </c>
      <c r="I5" s="5">
        <v>190</v>
      </c>
      <c r="J5" s="8">
        <v>0.0021622379999999999</v>
      </c>
      <c r="K5" s="5">
        <v>2.6000000000000001</v>
      </c>
      <c r="L5" s="24">
        <v>4377</v>
      </c>
      <c r="M5" s="5">
        <v>290</v>
      </c>
      <c r="N5" s="8">
        <v>0.0033002579999999999</v>
      </c>
      <c r="O5" s="25">
        <v>0.0081937439999999993</v>
      </c>
    </row>
    <row r="6">
      <c r="A6" s="5" t="s">
        <v>36</v>
      </c>
      <c r="B6" s="5" t="s">
        <v>35</v>
      </c>
      <c r="C6" s="5">
        <v>2.5</v>
      </c>
      <c r="D6" s="24">
        <v>5680</v>
      </c>
      <c r="E6" s="5">
        <v>368</v>
      </c>
      <c r="F6" s="8">
        <v>0.0052256000000000004</v>
      </c>
      <c r="G6" s="5">
        <v>2.5</v>
      </c>
      <c r="H6" s="24">
        <v>5680</v>
      </c>
      <c r="I6" s="5">
        <v>256</v>
      </c>
      <c r="J6" s="8">
        <v>0.0036351999999999999</v>
      </c>
      <c r="K6" s="5">
        <v>2.5</v>
      </c>
      <c r="L6" s="24">
        <v>5680</v>
      </c>
      <c r="M6" s="5">
        <v>464</v>
      </c>
      <c r="N6" s="8">
        <v>0.0065887999999999997</v>
      </c>
      <c r="O6" s="25">
        <v>0.015449600000000001</v>
      </c>
    </row>
    <row r="7">
      <c r="A7" s="5" t="s">
        <v>37</v>
      </c>
      <c r="B7" s="5" t="s">
        <v>35</v>
      </c>
      <c r="C7" s="5">
        <v>2.3999999999999999</v>
      </c>
      <c r="D7" s="24">
        <v>2321</v>
      </c>
      <c r="E7" s="5">
        <v>385</v>
      </c>
      <c r="F7" s="8">
        <v>0.002144604</v>
      </c>
      <c r="G7" s="5">
        <v>2.3999999999999999</v>
      </c>
      <c r="H7" s="24">
        <v>2321</v>
      </c>
      <c r="I7" s="5">
        <v>248</v>
      </c>
      <c r="J7" s="8">
        <v>0.0013814592000000001</v>
      </c>
      <c r="K7" s="5">
        <v>2.3999999999999999</v>
      </c>
      <c r="L7" s="24">
        <v>2321</v>
      </c>
      <c r="M7" s="5">
        <v>456</v>
      </c>
      <c r="N7" s="8">
        <v>0.0025401023999999999</v>
      </c>
      <c r="O7" s="25">
        <v>0.0060661656000000003</v>
      </c>
    </row>
    <row r="8">
      <c r="A8" s="5" t="s">
        <v>38</v>
      </c>
      <c r="B8" s="5" t="s">
        <v>35</v>
      </c>
      <c r="C8" s="5">
        <v>2.6000000000000001</v>
      </c>
      <c r="D8" s="24">
        <v>14031</v>
      </c>
      <c r="E8" s="5">
        <v>449</v>
      </c>
      <c r="F8" s="8">
        <v>0.016379789400000001</v>
      </c>
      <c r="G8" s="5">
        <v>2.6000000000000001</v>
      </c>
      <c r="H8" s="24">
        <v>14031</v>
      </c>
      <c r="I8" s="5">
        <v>304</v>
      </c>
      <c r="J8" s="8">
        <v>0.011090102399999999</v>
      </c>
      <c r="K8" s="5">
        <v>2.6000000000000001</v>
      </c>
      <c r="L8" s="24">
        <v>14031</v>
      </c>
      <c r="M8" s="5">
        <v>600</v>
      </c>
      <c r="N8" s="8">
        <v>0.021888359999999999</v>
      </c>
      <c r="O8" s="25">
        <v>0.049358251800000003</v>
      </c>
    </row>
    <row r="9">
      <c r="A9" s="5" t="s">
        <v>39</v>
      </c>
      <c r="B9" s="5" t="s">
        <v>35</v>
      </c>
      <c r="C9" s="5">
        <v>2.7999999999999998</v>
      </c>
      <c r="D9" s="24">
        <v>3253</v>
      </c>
      <c r="E9" s="5">
        <v>449</v>
      </c>
      <c r="F9" s="8">
        <v>0.0040896715999999998</v>
      </c>
      <c r="G9" s="5">
        <v>2.7999999999999998</v>
      </c>
      <c r="H9" s="24">
        <v>3253</v>
      </c>
      <c r="I9" s="5">
        <v>304</v>
      </c>
      <c r="J9" s="8">
        <v>0.0027689536</v>
      </c>
      <c r="K9" s="5">
        <v>2.7999999999999998</v>
      </c>
      <c r="L9" s="24">
        <v>3253</v>
      </c>
      <c r="M9" s="5">
        <v>600</v>
      </c>
      <c r="N9" s="8">
        <v>0.00546504</v>
      </c>
      <c r="O9" s="25">
        <v>0.0123236652</v>
      </c>
    </row>
    <row r="10">
      <c r="A10" s="5" t="s">
        <v>40</v>
      </c>
      <c r="B10" s="5" t="s">
        <v>35</v>
      </c>
      <c r="C10" s="5">
        <v>2.6000000000000001</v>
      </c>
      <c r="D10" s="24">
        <v>16434</v>
      </c>
      <c r="E10" s="5">
        <v>368</v>
      </c>
      <c r="F10" s="8">
        <v>0.015724051199999999</v>
      </c>
      <c r="G10" s="5">
        <v>2.6000000000000001</v>
      </c>
      <c r="H10" s="24">
        <v>16434</v>
      </c>
      <c r="I10" s="5">
        <v>248</v>
      </c>
      <c r="J10" s="8">
        <v>0.0105966432</v>
      </c>
      <c r="K10" s="5">
        <v>2.6000000000000001</v>
      </c>
      <c r="L10" s="24">
        <v>16434</v>
      </c>
      <c r="M10" s="5">
        <v>464</v>
      </c>
      <c r="N10" s="8">
        <v>0.019825977599999999</v>
      </c>
      <c r="O10" s="25">
        <v>0.046146672</v>
      </c>
    </row>
    <row r="11">
      <c r="A11" s="5" t="s">
        <v>41</v>
      </c>
      <c r="B11" s="5" t="s">
        <v>35</v>
      </c>
      <c r="C11" s="5">
        <v>2.5</v>
      </c>
      <c r="D11" s="24">
        <v>9647</v>
      </c>
      <c r="E11" s="5">
        <v>184</v>
      </c>
      <c r="F11" s="8">
        <v>0.0044376199999999998</v>
      </c>
      <c r="G11" s="5">
        <v>2.5</v>
      </c>
      <c r="H11" s="24">
        <v>9647</v>
      </c>
      <c r="I11" s="5">
        <v>120</v>
      </c>
      <c r="J11" s="8">
        <v>0.0028941000000000001</v>
      </c>
      <c r="K11" s="5">
        <v>2.5</v>
      </c>
      <c r="L11" s="24">
        <v>9647</v>
      </c>
      <c r="M11" s="5">
        <v>232</v>
      </c>
      <c r="N11" s="8">
        <v>0.0055952600000000003</v>
      </c>
      <c r="O11" s="25">
        <v>0.012926979999999999</v>
      </c>
    </row>
    <row r="12">
      <c r="A12" s="5" t="s">
        <v>42</v>
      </c>
      <c r="B12" s="5" t="s">
        <v>35</v>
      </c>
      <c r="C12" s="5">
        <v>2.7999999999999998</v>
      </c>
      <c r="D12" s="24">
        <v>5887</v>
      </c>
      <c r="E12" s="5">
        <v>368</v>
      </c>
      <c r="F12" s="8">
        <v>0.0060659648000000004</v>
      </c>
      <c r="G12" s="5">
        <v>2.7999999999999998</v>
      </c>
      <c r="H12" s="24">
        <v>5887</v>
      </c>
      <c r="I12" s="5">
        <v>240</v>
      </c>
      <c r="J12" s="8">
        <v>0.0039560639999999996</v>
      </c>
      <c r="K12" s="5">
        <v>2.7999999999999998</v>
      </c>
      <c r="L12" s="24">
        <v>5887</v>
      </c>
      <c r="M12" s="5">
        <v>464</v>
      </c>
      <c r="N12" s="8">
        <v>0.0076483903999999998</v>
      </c>
      <c r="O12" s="25">
        <v>0.017670419199999999</v>
      </c>
    </row>
    <row r="13">
      <c r="A13" s="5" t="s">
        <v>43</v>
      </c>
      <c r="B13" s="5" t="s">
        <v>35</v>
      </c>
      <c r="C13" s="5">
        <v>2.7999999999999998</v>
      </c>
      <c r="D13" s="24">
        <v>12648</v>
      </c>
      <c r="E13" s="5">
        <v>184</v>
      </c>
      <c r="F13" s="8">
        <v>0.0065162496000000002</v>
      </c>
      <c r="G13" s="5">
        <v>2.7999999999999998</v>
      </c>
      <c r="H13" s="24">
        <v>12648</v>
      </c>
      <c r="I13" s="5">
        <v>120</v>
      </c>
      <c r="J13" s="8">
        <v>0.0042497280000000004</v>
      </c>
      <c r="K13" s="5">
        <v>2.7999999999999998</v>
      </c>
      <c r="L13" s="24">
        <v>12648</v>
      </c>
      <c r="M13" s="5">
        <v>232</v>
      </c>
      <c r="N13" s="8">
        <v>0.0082161408000000005</v>
      </c>
      <c r="O13" s="25">
        <v>0.018982118400000001</v>
      </c>
    </row>
    <row r="14">
      <c r="A14" s="5" t="s">
        <v>44</v>
      </c>
      <c r="B14" s="5" t="s">
        <v>35</v>
      </c>
      <c r="C14" s="5">
        <v>2.1000000000000001</v>
      </c>
      <c r="D14" s="24">
        <v>8609</v>
      </c>
      <c r="E14" s="5">
        <v>162</v>
      </c>
      <c r="F14" s="8">
        <v>0.0029287817999999999</v>
      </c>
      <c r="G14" s="5">
        <v>2.1000000000000001</v>
      </c>
      <c r="H14" s="24">
        <v>8609</v>
      </c>
      <c r="I14" s="5">
        <v>138</v>
      </c>
      <c r="J14" s="8">
        <v>0.0024948881999999999</v>
      </c>
      <c r="K14" s="5">
        <v>2.1000000000000001</v>
      </c>
      <c r="L14" s="24">
        <v>8609</v>
      </c>
      <c r="M14" s="5">
        <v>211</v>
      </c>
      <c r="N14" s="8">
        <v>0.0038146478999999999</v>
      </c>
      <c r="O14" s="25">
        <v>0.0092383178999999992</v>
      </c>
    </row>
    <row r="15">
      <c r="A15" s="22" t="s">
        <v>45</v>
      </c>
      <c r="B15" s="5" t="s">
        <v>35</v>
      </c>
      <c r="C15" s="5">
        <v>1.8</v>
      </c>
      <c r="D15" s="5">
        <v>827</v>
      </c>
      <c r="E15" s="5">
        <v>184</v>
      </c>
      <c r="F15" s="8">
        <v>0.0002739024</v>
      </c>
      <c r="G15" s="5">
        <v>1.8</v>
      </c>
      <c r="H15" s="5">
        <v>827</v>
      </c>
      <c r="I15" s="5">
        <v>120</v>
      </c>
      <c r="J15" s="8">
        <v>0.00017863199999999999</v>
      </c>
      <c r="K15" s="5">
        <v>1.8</v>
      </c>
      <c r="L15" s="5">
        <v>827</v>
      </c>
      <c r="M15" s="5">
        <v>232</v>
      </c>
      <c r="N15" s="8">
        <v>0.0003453552</v>
      </c>
      <c r="O15" s="25">
        <v>0.00079788959999999996</v>
      </c>
    </row>
    <row r="16">
      <c r="A16" s="22" t="s">
        <v>46</v>
      </c>
      <c r="B16" s="5" t="s">
        <v>35</v>
      </c>
      <c r="C16" s="5">
        <v>4.0999999999999996</v>
      </c>
      <c r="D16" s="5">
        <v>1227</v>
      </c>
      <c r="E16" s="5">
        <v>230</v>
      </c>
      <c r="F16" s="8">
        <v>0.001157061</v>
      </c>
      <c r="G16" s="5">
        <v>4.0999999999999996</v>
      </c>
      <c r="H16" s="5">
        <v>1227</v>
      </c>
      <c r="I16" s="5">
        <v>150</v>
      </c>
      <c r="J16" s="8">
        <v>0.00075460499999999999</v>
      </c>
      <c r="K16" s="5">
        <v>4.0999999999999996</v>
      </c>
      <c r="L16" s="5">
        <v>1227</v>
      </c>
      <c r="M16" s="5">
        <v>130</v>
      </c>
      <c r="N16" s="8">
        <v>0.00065399100000000003</v>
      </c>
      <c r="O16" s="25">
        <v>0.0025656569999999998</v>
      </c>
    </row>
    <row r="17">
      <c r="A17" s="22" t="s">
        <v>47</v>
      </c>
      <c r="B17" s="26"/>
      <c r="C17" s="5"/>
      <c r="D17" s="5"/>
      <c r="E17" s="5"/>
      <c r="F17" s="8">
        <v>0.0676745438</v>
      </c>
      <c r="G17" s="5"/>
      <c r="H17" s="5"/>
      <c r="I17" s="5"/>
      <c r="J17" s="8">
        <v>0.046162613599999999</v>
      </c>
      <c r="K17" s="5"/>
      <c r="L17" s="5"/>
      <c r="M17" s="5"/>
      <c r="N17" s="8">
        <v>0.085882323299999994</v>
      </c>
      <c r="O17" s="27">
        <v>0.19971948070000001</v>
      </c>
    </row>
    <row r="18">
      <c r="A18" s="5" t="s">
        <v>39</v>
      </c>
      <c r="B18" s="22" t="s">
        <v>48</v>
      </c>
      <c r="C18" s="22">
        <v>1.5</v>
      </c>
      <c r="D18" s="5">
        <v>3253</v>
      </c>
      <c r="E18" s="22">
        <v>449</v>
      </c>
      <c r="F18" s="28">
        <v>0.0021908955000000002</v>
      </c>
      <c r="G18" s="22">
        <v>1.5</v>
      </c>
      <c r="H18" s="5">
        <v>3253</v>
      </c>
      <c r="I18" s="22">
        <v>304</v>
      </c>
      <c r="J18" s="28">
        <v>0.0014833680000000001</v>
      </c>
      <c r="K18" s="22">
        <v>1.5</v>
      </c>
      <c r="L18" s="5">
        <v>3253</v>
      </c>
      <c r="M18" s="22">
        <v>600</v>
      </c>
      <c r="N18" s="28">
        <v>0.0029277000000000001</v>
      </c>
      <c r="O18" s="25">
        <v>0.0066019635000000004</v>
      </c>
    </row>
    <row r="19">
      <c r="A19" s="22" t="s">
        <v>45</v>
      </c>
      <c r="B19" s="22" t="s">
        <v>48</v>
      </c>
      <c r="C19" s="22">
        <v>41</v>
      </c>
      <c r="D19" s="5">
        <v>1157</v>
      </c>
      <c r="E19" s="5">
        <v>184</v>
      </c>
      <c r="F19" s="28">
        <v>0.008728408</v>
      </c>
      <c r="G19" s="22">
        <v>42</v>
      </c>
      <c r="H19" s="5">
        <v>1226</v>
      </c>
      <c r="I19" s="5">
        <v>120</v>
      </c>
      <c r="J19" s="28">
        <v>0.0061790400000000002</v>
      </c>
      <c r="K19" s="22">
        <v>48</v>
      </c>
      <c r="L19" s="5">
        <v>1291</v>
      </c>
      <c r="M19" s="5">
        <v>232</v>
      </c>
      <c r="N19" s="28">
        <v>0.014376576</v>
      </c>
      <c r="O19" s="25">
        <v>0.029284023999999999</v>
      </c>
    </row>
    <row r="20">
      <c r="A20" s="22" t="s">
        <v>46</v>
      </c>
      <c r="B20" s="22" t="s">
        <v>48</v>
      </c>
      <c r="C20" s="22">
        <v>41</v>
      </c>
      <c r="D20" s="5">
        <v>2169</v>
      </c>
      <c r="E20" s="5">
        <v>230</v>
      </c>
      <c r="F20" s="28">
        <v>0.02045367</v>
      </c>
      <c r="G20" s="22">
        <v>41</v>
      </c>
      <c r="H20" s="5">
        <v>2190</v>
      </c>
      <c r="I20" s="5">
        <v>150</v>
      </c>
      <c r="J20" s="28">
        <v>0.0134685</v>
      </c>
      <c r="K20" s="22">
        <v>46</v>
      </c>
      <c r="L20" s="5">
        <v>1806</v>
      </c>
      <c r="M20" s="5">
        <v>130</v>
      </c>
      <c r="N20" s="28">
        <v>0.01079988</v>
      </c>
      <c r="O20" s="25">
        <v>0.044722049999999999</v>
      </c>
    </row>
    <row r="21">
      <c r="A21" s="22" t="s">
        <v>49</v>
      </c>
      <c r="B21" s="22" t="s">
        <v>48</v>
      </c>
      <c r="C21" s="23">
        <v>19</v>
      </c>
      <c r="D21" s="29">
        <v>417</v>
      </c>
      <c r="E21" s="5">
        <v>168</v>
      </c>
      <c r="F21" s="28">
        <v>0.0013310640000000001</v>
      </c>
      <c r="G21" s="23">
        <v>19</v>
      </c>
      <c r="H21" s="29">
        <v>417</v>
      </c>
      <c r="I21" s="5">
        <v>105</v>
      </c>
      <c r="J21" s="28">
        <v>0.00083191500000000002</v>
      </c>
      <c r="K21" s="23">
        <v>19</v>
      </c>
      <c r="L21" s="29">
        <v>417</v>
      </c>
      <c r="M21" s="5">
        <v>118</v>
      </c>
      <c r="N21" s="28">
        <v>0.00093491400000000001</v>
      </c>
      <c r="O21" s="25">
        <v>0.003097893</v>
      </c>
    </row>
    <row r="22">
      <c r="A22" s="22" t="s">
        <v>50</v>
      </c>
      <c r="B22" s="22" t="s">
        <v>48</v>
      </c>
      <c r="C22" s="23">
        <v>1.5</v>
      </c>
      <c r="D22" s="23">
        <v>6465</v>
      </c>
      <c r="E22" s="22">
        <v>384</v>
      </c>
      <c r="F22" s="28">
        <v>0.00372384</v>
      </c>
      <c r="G22" s="23">
        <v>1.5</v>
      </c>
      <c r="H22" s="23">
        <v>6465</v>
      </c>
      <c r="I22" s="22">
        <v>228</v>
      </c>
      <c r="J22" s="28">
        <v>0.0022110300000000001</v>
      </c>
      <c r="K22" s="23">
        <v>1.5</v>
      </c>
      <c r="L22" s="23">
        <v>6465</v>
      </c>
      <c r="M22" s="22">
        <v>448</v>
      </c>
      <c r="N22" s="28">
        <v>0.0043444800000000004</v>
      </c>
      <c r="O22" s="25">
        <v>0.01027935</v>
      </c>
    </row>
    <row r="23">
      <c r="A23" s="5" t="s">
        <v>47</v>
      </c>
      <c r="B23" s="22"/>
      <c r="C23" s="22"/>
      <c r="D23" s="22"/>
      <c r="E23" s="5"/>
      <c r="F23" s="28">
        <v>0.036427877499999997</v>
      </c>
      <c r="G23" s="22"/>
      <c r="H23" s="22"/>
      <c r="I23" s="5"/>
      <c r="J23" s="28">
        <v>0.024173852999999999</v>
      </c>
      <c r="K23" s="22"/>
      <c r="L23" s="22"/>
      <c r="M23" s="5"/>
      <c r="N23" s="28">
        <v>0.033383549999999998</v>
      </c>
      <c r="O23" s="30">
        <v>0.093985280500000004</v>
      </c>
    </row>
    <row r="24">
      <c r="A24" s="5" t="s">
        <v>39</v>
      </c>
      <c r="B24" s="22" t="s">
        <v>51</v>
      </c>
      <c r="C24" s="22">
        <v>1.5</v>
      </c>
      <c r="D24" s="5">
        <v>3253</v>
      </c>
      <c r="E24" s="5">
        <v>449</v>
      </c>
      <c r="F24" s="28">
        <v>0.0021908955000000002</v>
      </c>
      <c r="G24" s="22">
        <v>1.5</v>
      </c>
      <c r="H24" s="5">
        <v>3253</v>
      </c>
      <c r="I24" s="5">
        <v>304</v>
      </c>
      <c r="J24" s="28">
        <v>0.0014833680000000001</v>
      </c>
      <c r="K24" s="22">
        <v>1.5</v>
      </c>
      <c r="L24" s="5">
        <v>3253</v>
      </c>
      <c r="M24" s="5">
        <v>600</v>
      </c>
      <c r="N24" s="28">
        <v>0.0029277000000000001</v>
      </c>
      <c r="O24" s="31">
        <v>0.0066019635000000004</v>
      </c>
    </row>
    <row r="25">
      <c r="A25" s="22" t="s">
        <v>45</v>
      </c>
      <c r="B25" s="22" t="s">
        <v>51</v>
      </c>
      <c r="C25" s="22">
        <v>1.5</v>
      </c>
      <c r="D25" s="5">
        <v>827</v>
      </c>
      <c r="E25" s="5">
        <v>184</v>
      </c>
      <c r="F25" s="28">
        <v>0.000228252</v>
      </c>
      <c r="G25" s="22">
        <v>1.5</v>
      </c>
      <c r="H25" s="5">
        <v>827</v>
      </c>
      <c r="I25" s="5">
        <v>120</v>
      </c>
      <c r="J25" s="28">
        <v>0.00014886000000000001</v>
      </c>
      <c r="K25" s="22">
        <v>1.5</v>
      </c>
      <c r="L25" s="5">
        <v>827</v>
      </c>
      <c r="M25" s="5">
        <v>232</v>
      </c>
      <c r="N25" s="28">
        <v>0.00028779599999999999</v>
      </c>
      <c r="O25" s="31">
        <v>0.00066490799999999997</v>
      </c>
    </row>
    <row r="26">
      <c r="A26" s="22" t="s">
        <v>46</v>
      </c>
      <c r="B26" s="22" t="s">
        <v>51</v>
      </c>
      <c r="C26" s="22">
        <v>1.5</v>
      </c>
      <c r="D26" s="5">
        <v>1227</v>
      </c>
      <c r="E26" s="5">
        <v>230</v>
      </c>
      <c r="F26" s="28">
        <v>0.00042331500000000001</v>
      </c>
      <c r="G26" s="22">
        <v>1.5</v>
      </c>
      <c r="H26" s="5">
        <v>1227</v>
      </c>
      <c r="I26" s="5">
        <v>150</v>
      </c>
      <c r="J26" s="28">
        <v>0.00027607499999999997</v>
      </c>
      <c r="K26" s="22">
        <v>1.5</v>
      </c>
      <c r="L26" s="5">
        <v>1227</v>
      </c>
      <c r="M26" s="5">
        <v>130</v>
      </c>
      <c r="N26" s="28">
        <v>0.00023926500000000001</v>
      </c>
      <c r="O26" s="31">
        <v>0.00093865500000000004</v>
      </c>
    </row>
    <row r="27">
      <c r="A27" s="22" t="s">
        <v>47</v>
      </c>
      <c r="B27" s="22"/>
      <c r="C27" s="22"/>
      <c r="D27" s="22"/>
      <c r="E27" s="5"/>
      <c r="F27" s="28">
        <v>0.0028424625000000002</v>
      </c>
      <c r="G27" s="22"/>
      <c r="H27" s="22"/>
      <c r="I27" s="5"/>
      <c r="J27" s="28">
        <v>0.0019083030000000001</v>
      </c>
      <c r="K27" s="22"/>
      <c r="L27" s="22"/>
      <c r="M27" s="5"/>
      <c r="N27" s="32">
        <v>0.0034547610000000002</v>
      </c>
      <c r="O27" s="30">
        <v>0.0082055264999999992</v>
      </c>
    </row>
    <row r="28">
      <c r="A28" s="23" t="s">
        <v>52</v>
      </c>
      <c r="B28" s="23" t="s">
        <v>53</v>
      </c>
      <c r="C28" s="23">
        <v>1.6699999999999999</v>
      </c>
      <c r="D28" s="23">
        <v>5861</v>
      </c>
      <c r="E28" s="22">
        <v>207</v>
      </c>
      <c r="F28" s="28">
        <v>0.0020260890900000001</v>
      </c>
      <c r="G28" s="23">
        <v>1.6699999999999999</v>
      </c>
      <c r="H28" s="23">
        <v>5861</v>
      </c>
      <c r="I28" s="22">
        <v>135</v>
      </c>
      <c r="J28" s="28">
        <v>0.0013213624499999999</v>
      </c>
      <c r="K28" s="23">
        <v>1.6699999999999999</v>
      </c>
      <c r="L28" s="23">
        <v>5861</v>
      </c>
      <c r="M28" s="22">
        <v>256</v>
      </c>
      <c r="N28" s="28">
        <v>0.0025056947199999999</v>
      </c>
      <c r="O28" s="25">
        <v>0.0058531462599999999</v>
      </c>
    </row>
    <row r="29">
      <c r="A29" s="23" t="s">
        <v>39</v>
      </c>
      <c r="B29" s="23" t="s">
        <v>53</v>
      </c>
      <c r="C29" s="23">
        <v>0.12</v>
      </c>
      <c r="D29" s="5">
        <v>3253</v>
      </c>
      <c r="E29" s="23">
        <v>449</v>
      </c>
      <c r="F29" s="28">
        <v>0.00017527164</v>
      </c>
      <c r="G29" s="23">
        <v>0.12</v>
      </c>
      <c r="H29" s="5">
        <v>3253</v>
      </c>
      <c r="I29" s="23">
        <v>304</v>
      </c>
      <c r="J29" s="25">
        <v>0.00011866944</v>
      </c>
      <c r="K29" s="23">
        <v>0.12</v>
      </c>
      <c r="L29" s="5">
        <v>3253</v>
      </c>
      <c r="M29" s="23">
        <v>600</v>
      </c>
      <c r="N29" s="25">
        <v>0.00023421600000000001</v>
      </c>
      <c r="O29" s="25">
        <v>0.00052815708000000002</v>
      </c>
    </row>
    <row r="30">
      <c r="A30" s="22" t="s">
        <v>47</v>
      </c>
      <c r="B30" s="23"/>
      <c r="C30" s="23"/>
      <c r="D30" s="23"/>
      <c r="E30" s="23"/>
      <c r="F30" s="25">
        <v>0.00220136073</v>
      </c>
      <c r="G30" s="23"/>
      <c r="H30" s="23"/>
      <c r="I30" s="23"/>
      <c r="J30" s="25">
        <v>0.0014400318899999999</v>
      </c>
      <c r="K30" s="23"/>
      <c r="L30" s="23"/>
      <c r="M30" s="23"/>
      <c r="N30" s="25">
        <v>0.0027399107200000001</v>
      </c>
      <c r="O30" s="30">
        <v>0.00638130334</v>
      </c>
    </row>
    <row r="31">
      <c r="A31" s="22" t="s">
        <v>49</v>
      </c>
      <c r="B31" s="22" t="s">
        <v>20</v>
      </c>
      <c r="C31" s="23">
        <v>2.8300000000000001</v>
      </c>
      <c r="D31" s="23">
        <v>417</v>
      </c>
      <c r="E31" s="23">
        <v>168</v>
      </c>
      <c r="F31" s="25">
        <v>0.00019825847999999999</v>
      </c>
      <c r="G31" s="23">
        <v>2.8300000000000001</v>
      </c>
      <c r="H31" s="23">
        <v>417</v>
      </c>
      <c r="I31" s="23">
        <v>105</v>
      </c>
      <c r="J31" s="25">
        <v>0.00012391155000000001</v>
      </c>
      <c r="K31" s="23">
        <v>2.8300000000000001</v>
      </c>
      <c r="L31" s="23">
        <v>417</v>
      </c>
      <c r="M31" s="23">
        <v>118</v>
      </c>
      <c r="N31" s="25">
        <v>0.00013925297999999999</v>
      </c>
      <c r="O31" s="25">
        <v>0.00046142300999999999</v>
      </c>
    </row>
    <row r="32">
      <c r="A32" s="22" t="s">
        <v>50</v>
      </c>
      <c r="B32" s="22" t="s">
        <v>20</v>
      </c>
      <c r="C32" s="23">
        <v>3.6800000000000002</v>
      </c>
      <c r="D32" s="23">
        <v>6465</v>
      </c>
      <c r="E32" s="23">
        <v>384</v>
      </c>
      <c r="F32" s="25">
        <v>0.0091358207999999996</v>
      </c>
      <c r="G32" s="23">
        <v>3.6800000000000002</v>
      </c>
      <c r="H32" s="23">
        <v>6465</v>
      </c>
      <c r="I32" s="23">
        <v>228</v>
      </c>
      <c r="J32" s="25">
        <v>0.0054243935999999998</v>
      </c>
      <c r="K32" s="23">
        <v>3.6800000000000002</v>
      </c>
      <c r="L32" s="23">
        <v>6465</v>
      </c>
      <c r="M32" s="23">
        <v>448</v>
      </c>
      <c r="N32" s="25">
        <v>0.010658457600000001</v>
      </c>
      <c r="O32" s="25">
        <v>0.025218672000000001</v>
      </c>
    </row>
    <row r="33">
      <c r="A33" s="22" t="s">
        <v>54</v>
      </c>
      <c r="B33" s="23"/>
      <c r="C33" s="23"/>
      <c r="D33" s="23"/>
      <c r="E33" s="23"/>
      <c r="F33" s="25">
        <v>0.0093340792799999992</v>
      </c>
      <c r="G33" s="23"/>
      <c r="H33" s="23"/>
      <c r="I33" s="23"/>
      <c r="J33" s="25">
        <v>0.0055483051500000002</v>
      </c>
      <c r="K33" s="23"/>
      <c r="L33" s="23"/>
      <c r="M33" s="23"/>
      <c r="N33" s="25">
        <v>0.01079771058</v>
      </c>
      <c r="O33" s="30">
        <v>0.025680095010000001</v>
      </c>
    </row>
    <row r="34">
      <c r="A34" s="22" t="s">
        <v>50</v>
      </c>
      <c r="B34" s="22" t="s">
        <v>55</v>
      </c>
      <c r="C34" s="23">
        <v>4.2000000000000002</v>
      </c>
      <c r="D34" s="23">
        <v>6465</v>
      </c>
      <c r="E34" s="23">
        <v>384</v>
      </c>
      <c r="F34" s="25">
        <v>0.010426751999999999</v>
      </c>
      <c r="G34" s="23">
        <v>4.2000000000000002</v>
      </c>
      <c r="H34" s="23">
        <v>6465</v>
      </c>
      <c r="I34" s="23">
        <v>228</v>
      </c>
      <c r="J34" s="25">
        <v>0.0061908839999999998</v>
      </c>
      <c r="K34" s="23">
        <v>4.2000000000000002</v>
      </c>
      <c r="L34" s="23">
        <v>6465</v>
      </c>
      <c r="M34" s="23">
        <v>448</v>
      </c>
      <c r="N34" s="25">
        <v>0.012164543999999999</v>
      </c>
      <c r="O34" s="25">
        <v>0.028782180000000001</v>
      </c>
    </row>
    <row r="35">
      <c r="A35" s="22" t="s">
        <v>47</v>
      </c>
      <c r="B35" s="22"/>
      <c r="C35" s="23"/>
      <c r="D35" s="23"/>
      <c r="E35" s="23"/>
      <c r="F35" s="25">
        <v>0.010426751999999999</v>
      </c>
      <c r="G35" s="23"/>
      <c r="H35" s="23"/>
      <c r="I35" s="23"/>
      <c r="J35" s="25">
        <v>0.0061908839999999998</v>
      </c>
      <c r="K35" s="23"/>
      <c r="L35" s="23"/>
      <c r="M35" s="23"/>
      <c r="N35" s="25">
        <v>0.012164543999999999</v>
      </c>
      <c r="O35" s="30">
        <v>0.028782180000000001</v>
      </c>
    </row>
  </sheetData>
  <mergeCells count="6">
    <mergeCell ref="A2:O2"/>
    <mergeCell ref="C3:F3"/>
    <mergeCell ref="G3:J3"/>
    <mergeCell ref="K3:N3"/>
    <mergeCell ref="A3:A4"/>
    <mergeCell ref="B3:B4"/>
  </mergeCells>
  <printOptions headings="0" gridLines="0"/>
  <pageMargins left="0.30694444444444402" right="0.30694444444444402" top="0.35763888888888901" bottom="0.35763888888888901" header="0.29861111111111094" footer="0.2986111111111109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2021-08-12T05:42:00Z</dcterms:created>
  <dcterms:modified xsi:type="dcterms:W3CDTF">2026-01-24T14:42:35Z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  <property fmtid="{D5CDD505-2E9C-101B-9397-08002B2CF9AE}" pid="3" name="ICV">
    <vt:lpwstr>ABFA383FE37E413BB80DDC4427B60B8F</vt:lpwstr>
  </property>
</Properties>
</file>