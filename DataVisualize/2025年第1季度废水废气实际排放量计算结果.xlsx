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废水" sheetId="1" state="visible" r:id="rId1"/>
    <sheet name="废气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<sst xmlns="http://schemas.openxmlformats.org/spreadsheetml/2006/main" count="56" uniqueCount="56">
  <si>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2025年第1季度废水实际排放量计算结果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</si>
  <si>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</si>
  <si>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</si>
  <si>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</si>
  <si>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</si>
  <si>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</si>
  <si>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</si>
  <si>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</si>
  <si>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1月</t>
  </si>
  <si>
    <t>2月</t>
  </si>
  <si>
    <t>3月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</si>
  <si>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</si>
  <si>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</si>
  <si>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</si>
  <si>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</si>
  <si>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</si>
  <si>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</si>
  <si>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</si>
  <si>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</si>
  <si>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</si>
  <si>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</si>
  <si>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</si>
  <si>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</si>
  <si>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</si>
  <si>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</si>
  <si>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</si>
  <si>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</si>
  <si>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</si>
  <si>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</si>
  <si>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</si>
  <si>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2025年第1季度废气实际排放量计算结果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</si>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</sst>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  <numFmt numFmtId="168" formatCode="0;[Red]0"/>
    <numFmt numFmtId="169" formatCode="0.0000_ "/>
    <numFmt numFmtId="170" formatCode="0.00000_ "/>
    <numFmt numFmtId="171" formatCode="0.000000_ "/>
    <numFmt numFmtId="172" formatCode="0.0000;[Red]0.0000"/>
    <numFmt numFmtId="173" formatCode="0.00000;[Red]0.00000"/>
  </numFmts>
  <fonts count="24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6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color theme="1"/>
      <name val="Calibri"/>
      <scheme val="minor"/>
    </font>
    <font>
      <sz val="10.500000"/>
      <color theme="1"/>
      <name val="宋体"/>
    </font>
    <font>
      <sz val="10.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33"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19" fillId="0" borderId="0" numFmtId="0" xfId="0" applyFont="1" applyAlignment="1">
      <alignment horizontal="center" vertical="center"/>
    </xf>
    <xf fontId="19" fillId="0" borderId="0" numFmtId="0" xfId="0" applyFont="1" applyAlignment="1">
      <alignment horizontal="center" vertical="center" wrapText="1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9" numFmtId="168" xfId="0" applyNumberForma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9" numFmtId="171" xfId="0" applyNumberFormat="1" applyBorder="1" applyAlignment="1">
      <alignment vertical="center" wrapText="1"/>
    </xf>
    <xf fontId="0" fillId="0" borderId="9" numFmtId="0" xfId="0" applyBorder="1" applyAlignment="1">
      <alignment vertical="center"/>
    </xf>
    <xf fontId="0" fillId="0" borderId="9" numFmtId="171" xfId="0" applyNumberFormat="1" applyBorder="1" applyAlignment="1">
      <alignment vertical="center"/>
    </xf>
    <xf fontId="20" fillId="0" borderId="9" numFmtId="0" xfId="0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1" fillId="0" borderId="9" numFmtId="172" xfId="0" applyNumberFormat="1" applyFont="1" applyBorder="1" applyAlignment="1">
      <alignment horizontal="center" vertical="center"/>
    </xf>
    <xf fontId="20" fillId="0" borderId="9" numFmtId="0" xfId="0" applyFont="1" applyBorder="1" applyAlignment="1">
      <alignment horizontal="justify" vertical="center"/>
    </xf>
    <xf fontId="23" fillId="33" borderId="9" numFmtId="172" xfId="0" applyNumberFormat="1" applyFont="1" applyFill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/>
    </xf>
    <xf fontId="22" fillId="0" borderId="0" numFmtId="0" xfId="0" applyFont="1" applyAlignment="1">
      <alignment horizontal="center" vertical="center"/>
    </xf>
    <xf fontId="21" fillId="33" borderId="9" numFmtId="172" xfId="0" applyNumberFormat="1" applyFont="1" applyFill="1" applyBorder="1" applyAlignment="1">
      <alignment horizontal="center" vertical="center"/>
    </xf>
    <xf fontId="21" fillId="0" borderId="9" numFmtId="173" xfId="0" applyNumberFormat="1" applyFont="1" applyBorder="1" applyAlignment="1">
      <alignment horizontal="center" vertical="center"/>
    </xf>
    <xf fontId="20" fillId="0" borderId="9" numFmtId="172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J13" activeCellId="0" sqref="J13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style="1" width="9.375"/>
    <col min="7" max="7" style="1" width="9"/>
    <col min="8" max="8" style="1" width="12.625"/>
    <col min="10" max="10" width="9.25"/>
    <col min="11" max="11" width="12.625"/>
    <col min="14" max="14" width="12.625"/>
    <col min="15" max="15" width="10.125"/>
  </cols>
  <sheetData>
    <row r="1" ht="13.5" customHeight="1"/>
    <row r="3" ht="21">
      <c r="A3" s="2" t="s">
        <v>0</v>
      </c>
      <c r="B3" s="2"/>
      <c r="C3" s="2"/>
      <c r="D3" s="2"/>
      <c r="E3" s="2"/>
      <c r="F3" s="3"/>
      <c r="G3" s="3"/>
      <c r="H3" s="3"/>
      <c r="I3" s="2"/>
      <c r="J3" s="2"/>
      <c r="K3" s="2"/>
      <c r="L3" s="2"/>
      <c r="M3" s="2"/>
      <c r="N3" s="2"/>
      <c r="O3" s="2"/>
    </row>
    <row r="5" ht="27">
      <c r="A5" s="4" t="s">
        <v>1</v>
      </c>
      <c r="B5" s="4" t="s">
        <v>2</v>
      </c>
      <c r="C5" s="4" t="s">
        <v>3</v>
      </c>
      <c r="D5" s="5" t="s">
        <v>4</v>
      </c>
      <c r="E5" s="5" t="s">
        <v>5</v>
      </c>
      <c r="F5" s="6"/>
      <c r="G5" s="6"/>
      <c r="H5" s="6"/>
    </row>
    <row r="6">
      <c r="A6" s="4">
        <v>1</v>
      </c>
      <c r="B6" s="4">
        <v>4842</v>
      </c>
      <c r="C6" s="4">
        <v>1684</v>
      </c>
      <c r="D6" s="4">
        <v>30</v>
      </c>
      <c r="E6" s="7">
        <f t="shared" ref="E6:E8" si="0">C6/D6</f>
        <v>56.133333333333297</v>
      </c>
      <c r="F6" s="6"/>
      <c r="G6" s="6"/>
      <c r="H6" s="6"/>
    </row>
    <row r="7">
      <c r="A7" s="4">
        <v>2</v>
      </c>
      <c r="B7" s="4">
        <v>4595</v>
      </c>
      <c r="C7" s="4">
        <v>1598</v>
      </c>
      <c r="D7" s="4">
        <v>20</v>
      </c>
      <c r="E7" s="7">
        <f t="shared" si="0"/>
        <v>79.900000000000006</v>
      </c>
      <c r="F7" s="6"/>
      <c r="G7" s="6"/>
      <c r="H7" s="6"/>
    </row>
    <row r="8">
      <c r="A8" s="4">
        <v>3</v>
      </c>
      <c r="B8" s="4">
        <v>4985</v>
      </c>
      <c r="C8" s="4">
        <v>1733</v>
      </c>
      <c r="D8" s="4">
        <v>27</v>
      </c>
      <c r="E8" s="7">
        <f t="shared" si="0"/>
        <v>64.185185185185205</v>
      </c>
      <c r="F8" s="6"/>
      <c r="G8" s="6"/>
      <c r="H8" s="6"/>
    </row>
    <row r="12">
      <c r="A12" s="5" t="s">
        <v>6</v>
      </c>
      <c r="B12" s="5" t="s">
        <v>7</v>
      </c>
      <c r="C12" s="5" t="s">
        <v>8</v>
      </c>
      <c r="D12" s="5"/>
      <c r="E12" s="5"/>
      <c r="F12" s="5"/>
      <c r="G12" s="5" t="s">
        <v>9</v>
      </c>
      <c r="H12" s="5"/>
      <c r="I12" s="5"/>
      <c r="J12" s="5"/>
      <c r="K12" s="5" t="s">
        <v>10</v>
      </c>
      <c r="L12" s="5"/>
      <c r="M12" s="5"/>
      <c r="N12" s="5"/>
      <c r="O12" s="5" t="s">
        <v>11</v>
      </c>
    </row>
    <row r="13" ht="27">
      <c r="A13" s="5"/>
      <c r="B13" s="5"/>
      <c r="C13" s="5" t="s">
        <v>12</v>
      </c>
      <c r="D13" s="5" t="s">
        <v>5</v>
      </c>
      <c r="E13" s="5" t="s">
        <v>4</v>
      </c>
      <c r="F13" s="5" t="s">
        <v>13</v>
      </c>
      <c r="G13" s="5" t="s">
        <v>12</v>
      </c>
      <c r="H13" s="5" t="s">
        <v>5</v>
      </c>
      <c r="I13" s="5" t="s">
        <v>4</v>
      </c>
      <c r="J13" s="5" t="s">
        <v>13</v>
      </c>
      <c r="K13" s="5" t="s">
        <v>12</v>
      </c>
      <c r="L13" s="5" t="s">
        <v>5</v>
      </c>
      <c r="M13" s="5" t="s">
        <v>4</v>
      </c>
      <c r="N13" s="5" t="s">
        <v>13</v>
      </c>
      <c r="O13" s="5"/>
    </row>
    <row r="14" ht="27">
      <c r="A14" s="5" t="s">
        <v>14</v>
      </c>
      <c r="B14" s="5" t="s">
        <v>15</v>
      </c>
      <c r="C14" s="5">
        <v>106</v>
      </c>
      <c r="D14" s="4">
        <v>56</v>
      </c>
      <c r="E14" s="4">
        <v>30</v>
      </c>
      <c r="F14" s="8">
        <f t="shared" ref="F14:F25" si="1">C14*D14*E14/1000000</f>
        <v>0.17807999999999999</v>
      </c>
      <c r="G14" s="5">
        <v>106</v>
      </c>
      <c r="H14" s="7">
        <v>80</v>
      </c>
      <c r="I14" s="4">
        <v>20</v>
      </c>
      <c r="J14" s="8">
        <f t="shared" ref="J14:J25" si="2">G14*H14*I14/1000000</f>
        <v>0.1696</v>
      </c>
      <c r="K14" s="5">
        <v>106</v>
      </c>
      <c r="L14" s="4">
        <v>64</v>
      </c>
      <c r="M14" s="4">
        <v>27</v>
      </c>
      <c r="N14" s="8">
        <f t="shared" ref="N14:N25" si="3">K14*L14*M14/1000000</f>
        <v>0.183168</v>
      </c>
      <c r="O14" s="8">
        <f t="shared" ref="O14:O25" si="4">F14+J14+N14</f>
        <v>0.53084799999999999</v>
      </c>
    </row>
    <row r="15" ht="16.5">
      <c r="A15" s="5"/>
      <c r="B15" s="5" t="s">
        <v>16</v>
      </c>
      <c r="C15" s="5">
        <v>5.3899999999999997</v>
      </c>
      <c r="D15" s="4">
        <v>56</v>
      </c>
      <c r="E15" s="4">
        <v>30</v>
      </c>
      <c r="F15" s="8">
        <f t="shared" si="1"/>
        <v>0.0090551999999999994</v>
      </c>
      <c r="G15" s="5">
        <v>5.3899999999999997</v>
      </c>
      <c r="H15" s="7">
        <v>80</v>
      </c>
      <c r="I15" s="4">
        <v>20</v>
      </c>
      <c r="J15" s="8">
        <f t="shared" si="2"/>
        <v>0.0086239999999999997</v>
      </c>
      <c r="K15" s="5">
        <v>5.3899999999999997</v>
      </c>
      <c r="L15" s="4">
        <v>64</v>
      </c>
      <c r="M15" s="4">
        <v>27</v>
      </c>
      <c r="N15" s="8">
        <f t="shared" si="3"/>
        <v>0.0093139199999999998</v>
      </c>
      <c r="O15" s="8">
        <f t="shared" si="4"/>
        <v>0.026993119999999999</v>
      </c>
    </row>
    <row r="16" ht="16.5">
      <c r="A16" s="5"/>
      <c r="B16" s="5" t="s">
        <v>17</v>
      </c>
      <c r="C16" s="5">
        <v>0.017000000000000001</v>
      </c>
      <c r="D16" s="4">
        <v>56</v>
      </c>
      <c r="E16" s="4">
        <v>30</v>
      </c>
      <c r="F16" s="9">
        <f t="shared" si="1"/>
        <v>2.8560000000000001e-05</v>
      </c>
      <c r="G16" s="5">
        <v>0.017000000000000001</v>
      </c>
      <c r="H16" s="7">
        <v>80</v>
      </c>
      <c r="I16" s="4">
        <v>20</v>
      </c>
      <c r="J16" s="9">
        <f t="shared" si="2"/>
        <v>2.72e-05</v>
      </c>
      <c r="K16" s="5">
        <v>0.017000000000000001</v>
      </c>
      <c r="L16" s="4">
        <v>64</v>
      </c>
      <c r="M16" s="4">
        <v>27</v>
      </c>
      <c r="N16" s="9">
        <f t="shared" si="3"/>
        <v>2.9376000000000001e-05</v>
      </c>
      <c r="O16" s="8">
        <f t="shared" si="4"/>
        <v>8.5136000000000006e-05</v>
      </c>
    </row>
    <row r="17" ht="16.5">
      <c r="A17" s="5"/>
      <c r="B17" s="5" t="s">
        <v>18</v>
      </c>
      <c r="C17" s="5">
        <v>0.13</v>
      </c>
      <c r="D17" s="4">
        <v>56</v>
      </c>
      <c r="E17" s="4">
        <v>30</v>
      </c>
      <c r="F17" s="9">
        <f t="shared" si="1"/>
        <v>0.0002184</v>
      </c>
      <c r="G17" s="5">
        <v>0.13</v>
      </c>
      <c r="H17" s="7">
        <v>80</v>
      </c>
      <c r="I17" s="4">
        <v>20</v>
      </c>
      <c r="J17" s="9">
        <f t="shared" si="2"/>
        <v>0.00020799999999999999</v>
      </c>
      <c r="K17" s="5">
        <v>0.13</v>
      </c>
      <c r="L17" s="4">
        <v>64</v>
      </c>
      <c r="M17" s="4">
        <v>27</v>
      </c>
      <c r="N17" s="9">
        <f t="shared" si="3"/>
        <v>0.00022463999999999999</v>
      </c>
      <c r="O17" s="8">
        <f t="shared" si="4"/>
        <v>0.00065103999999999997</v>
      </c>
    </row>
    <row r="18" ht="16.5">
      <c r="A18" s="5"/>
      <c r="B18" s="5" t="s">
        <v>19</v>
      </c>
      <c r="C18" s="5">
        <v>16</v>
      </c>
      <c r="D18" s="4">
        <v>56</v>
      </c>
      <c r="E18" s="4">
        <v>30</v>
      </c>
      <c r="F18" s="8">
        <f t="shared" si="1"/>
        <v>0.026880000000000001</v>
      </c>
      <c r="G18" s="5">
        <v>16</v>
      </c>
      <c r="H18" s="7">
        <v>80</v>
      </c>
      <c r="I18" s="4">
        <v>20</v>
      </c>
      <c r="J18" s="8">
        <f t="shared" si="2"/>
        <v>0.025600000000000001</v>
      </c>
      <c r="K18" s="5">
        <v>16</v>
      </c>
      <c r="L18" s="4">
        <v>64</v>
      </c>
      <c r="M18" s="4">
        <v>27</v>
      </c>
      <c r="N18" s="8">
        <f t="shared" si="3"/>
        <v>0.027647999999999999</v>
      </c>
      <c r="O18" s="8">
        <f t="shared" si="4"/>
        <v>0.080128000000000005</v>
      </c>
    </row>
    <row r="19" ht="16.5">
      <c r="A19" s="5"/>
      <c r="B19" s="5" t="s">
        <v>20</v>
      </c>
      <c r="C19" s="5">
        <v>2.5800000000000001</v>
      </c>
      <c r="D19" s="4">
        <v>56</v>
      </c>
      <c r="E19" s="4">
        <v>30</v>
      </c>
      <c r="F19" s="8">
        <f t="shared" si="1"/>
        <v>0.0043344000000000004</v>
      </c>
      <c r="G19" s="5">
        <v>2.5800000000000001</v>
      </c>
      <c r="H19" s="7">
        <v>80</v>
      </c>
      <c r="I19" s="4">
        <v>20</v>
      </c>
      <c r="J19" s="8">
        <f t="shared" si="2"/>
        <v>0.0041279999999999997</v>
      </c>
      <c r="K19" s="5">
        <v>2.5800000000000001</v>
      </c>
      <c r="L19" s="4">
        <v>64</v>
      </c>
      <c r="M19" s="4">
        <v>27</v>
      </c>
      <c r="N19" s="8">
        <f t="shared" si="3"/>
        <v>0.0044582399999999996</v>
      </c>
      <c r="O19" s="8">
        <f t="shared" si="4"/>
        <v>0.012920640000000001</v>
      </c>
    </row>
    <row r="20" ht="16.5">
      <c r="A20" s="5"/>
      <c r="B20" s="5" t="s">
        <v>21</v>
      </c>
      <c r="C20" s="5">
        <v>0.10000000000000001</v>
      </c>
      <c r="D20" s="4">
        <v>56</v>
      </c>
      <c r="E20" s="4">
        <v>30</v>
      </c>
      <c r="F20" s="10">
        <f t="shared" si="1"/>
        <v>0.00016799999999999999</v>
      </c>
      <c r="G20" s="5">
        <v>0.10000000000000001</v>
      </c>
      <c r="H20" s="7">
        <v>80</v>
      </c>
      <c r="I20" s="4">
        <v>20</v>
      </c>
      <c r="J20" s="10">
        <f t="shared" si="2"/>
        <v>0.00016000000000000001</v>
      </c>
      <c r="K20" s="5">
        <v>0.10000000000000001</v>
      </c>
      <c r="L20" s="4">
        <v>64</v>
      </c>
      <c r="M20" s="4">
        <v>27</v>
      </c>
      <c r="N20" s="10">
        <f t="shared" si="3"/>
        <v>0.0001728</v>
      </c>
      <c r="O20" s="8">
        <f t="shared" si="4"/>
        <v>0.00050080000000000003</v>
      </c>
    </row>
    <row r="21" ht="16.5">
      <c r="A21" s="5"/>
      <c r="B21" s="5" t="s">
        <v>22</v>
      </c>
      <c r="C21" s="5">
        <v>0.12</v>
      </c>
      <c r="D21" s="4">
        <v>56</v>
      </c>
      <c r="E21" s="4">
        <v>30</v>
      </c>
      <c r="F21" s="10">
        <f t="shared" si="1"/>
        <v>0.00020159999999999999</v>
      </c>
      <c r="G21" s="5">
        <v>0.12</v>
      </c>
      <c r="H21" s="7">
        <v>80</v>
      </c>
      <c r="I21" s="4">
        <v>20</v>
      </c>
      <c r="J21" s="10">
        <f t="shared" si="2"/>
        <v>0.000192</v>
      </c>
      <c r="K21" s="5">
        <v>0.12</v>
      </c>
      <c r="L21" s="4">
        <v>64</v>
      </c>
      <c r="M21" s="4">
        <v>27</v>
      </c>
      <c r="N21" s="10">
        <f t="shared" si="3"/>
        <v>0.00020735999999999999</v>
      </c>
      <c r="O21" s="8">
        <f t="shared" si="4"/>
        <v>0.00060095999999999999</v>
      </c>
    </row>
    <row r="22" ht="16.5">
      <c r="A22" s="5"/>
      <c r="B22" s="5" t="s">
        <v>23</v>
      </c>
      <c r="C22" s="5">
        <v>0.071999999999999995</v>
      </c>
      <c r="D22" s="4">
        <v>56</v>
      </c>
      <c r="E22" s="4">
        <v>30</v>
      </c>
      <c r="F22" s="10">
        <f t="shared" si="1"/>
        <v>0.00012095999999999999</v>
      </c>
      <c r="G22" s="5">
        <v>0.071999999999999995</v>
      </c>
      <c r="H22" s="7">
        <v>80</v>
      </c>
      <c r="I22" s="4">
        <v>20</v>
      </c>
      <c r="J22" s="10">
        <f t="shared" si="2"/>
        <v>0.00011519999999999999</v>
      </c>
      <c r="K22" s="5">
        <v>0.071999999999999995</v>
      </c>
      <c r="L22" s="4">
        <v>64</v>
      </c>
      <c r="M22" s="4">
        <v>27</v>
      </c>
      <c r="N22" s="10">
        <f t="shared" si="3"/>
        <v>0.000124416</v>
      </c>
      <c r="O22" s="8">
        <f t="shared" si="4"/>
        <v>0.00036057599999999998</v>
      </c>
    </row>
    <row r="23">
      <c r="A23" s="5"/>
      <c r="B23" s="5" t="s">
        <v>24</v>
      </c>
      <c r="C23" s="5">
        <v>29.399999999999999</v>
      </c>
      <c r="D23" s="4">
        <v>56</v>
      </c>
      <c r="E23" s="4">
        <v>30</v>
      </c>
      <c r="F23" s="8">
        <f t="shared" si="1"/>
        <v>0.049391999999999998</v>
      </c>
      <c r="G23" s="5">
        <v>29.399999999999999</v>
      </c>
      <c r="H23" s="7">
        <v>80</v>
      </c>
      <c r="I23" s="4">
        <v>20</v>
      </c>
      <c r="J23" s="8">
        <f t="shared" si="2"/>
        <v>0.047039999999999998</v>
      </c>
      <c r="K23" s="5">
        <v>29.399999999999999</v>
      </c>
      <c r="L23" s="4">
        <v>64</v>
      </c>
      <c r="M23" s="4">
        <v>27</v>
      </c>
      <c r="N23" s="8">
        <f t="shared" si="3"/>
        <v>0.0508032</v>
      </c>
      <c r="O23" s="8">
        <f t="shared" si="4"/>
        <v>0.14723520000000001</v>
      </c>
    </row>
    <row r="24" ht="16.5">
      <c r="A24" s="5"/>
      <c r="B24" s="5" t="s">
        <v>25</v>
      </c>
      <c r="C24" s="5">
        <v>66.299999999999997</v>
      </c>
      <c r="D24" s="4">
        <v>56</v>
      </c>
      <c r="E24" s="4">
        <v>30</v>
      </c>
      <c r="F24" s="8">
        <f t="shared" si="1"/>
        <v>0.111384</v>
      </c>
      <c r="G24" s="5">
        <v>66.299999999999997</v>
      </c>
      <c r="H24" s="7">
        <v>80</v>
      </c>
      <c r="I24" s="4">
        <v>20</v>
      </c>
      <c r="J24" s="8">
        <f t="shared" si="2"/>
        <v>0.10607999999999999</v>
      </c>
      <c r="K24" s="5">
        <v>66.299999999999997</v>
      </c>
      <c r="L24" s="4">
        <v>64</v>
      </c>
      <c r="M24" s="4">
        <v>27</v>
      </c>
      <c r="N24" s="8">
        <f t="shared" si="3"/>
        <v>0.1145664</v>
      </c>
      <c r="O24" s="8">
        <f t="shared" si="4"/>
        <v>0.3320304</v>
      </c>
    </row>
    <row r="25" ht="16.5">
      <c r="A25" s="5"/>
      <c r="B25" s="5" t="s">
        <v>26</v>
      </c>
      <c r="C25" s="5">
        <v>0.34999999999999998</v>
      </c>
      <c r="D25" s="4">
        <v>56</v>
      </c>
      <c r="E25" s="4">
        <v>30</v>
      </c>
      <c r="F25" s="8">
        <f t="shared" si="1"/>
        <v>0.00058799999999999998</v>
      </c>
      <c r="G25" s="5">
        <v>0.34999999999999998</v>
      </c>
      <c r="H25" s="7">
        <v>80</v>
      </c>
      <c r="I25" s="4">
        <v>20</v>
      </c>
      <c r="J25" s="8">
        <f t="shared" si="2"/>
        <v>0.00055999999999999995</v>
      </c>
      <c r="K25" s="5">
        <v>0.34999999999999998</v>
      </c>
      <c r="L25" s="4">
        <v>64</v>
      </c>
      <c r="M25" s="4">
        <v>27</v>
      </c>
      <c r="N25" s="8">
        <f t="shared" si="3"/>
        <v>0.00060479999999999996</v>
      </c>
      <c r="O25" s="8">
        <f t="shared" si="4"/>
        <v>0.0017528000000000001</v>
      </c>
    </row>
    <row r="26">
      <c r="A26" s="4"/>
      <c r="B26" s="4" t="s">
        <v>27</v>
      </c>
      <c r="C26" s="11">
        <v>7.2000000000000002</v>
      </c>
      <c r="D26" s="12"/>
      <c r="E26" s="12"/>
      <c r="F26" s="13"/>
      <c r="G26" s="14">
        <v>7.2000000000000002</v>
      </c>
      <c r="H26" s="15"/>
      <c r="I26" s="12"/>
      <c r="J26" s="16"/>
      <c r="K26" s="11">
        <v>7.2000000000000002</v>
      </c>
      <c r="L26" s="12"/>
      <c r="M26" s="12"/>
      <c r="N26" s="16"/>
      <c r="O26" s="4"/>
    </row>
    <row r="32">
      <c r="D32" s="5" t="s">
        <v>6</v>
      </c>
      <c r="E32" s="5" t="s">
        <v>7</v>
      </c>
      <c r="F32" s="17" t="s">
        <v>8</v>
      </c>
      <c r="G32" s="17"/>
      <c r="H32" s="17"/>
      <c r="I32" s="17" t="s">
        <v>9</v>
      </c>
      <c r="J32" s="17"/>
      <c r="K32" s="17"/>
      <c r="L32" s="17" t="s">
        <v>10</v>
      </c>
      <c r="M32" s="17"/>
      <c r="N32" s="17"/>
    </row>
    <row r="33" ht="27" customHeight="1">
      <c r="D33" s="5"/>
      <c r="E33" s="5"/>
      <c r="F33" s="18" t="s">
        <v>12</v>
      </c>
      <c r="G33" s="18" t="s">
        <v>28</v>
      </c>
      <c r="H33" s="18" t="s">
        <v>29</v>
      </c>
      <c r="I33" s="18" t="s">
        <v>12</v>
      </c>
      <c r="J33" s="18" t="s">
        <v>28</v>
      </c>
      <c r="K33" s="18" t="s">
        <v>29</v>
      </c>
      <c r="L33" s="18" t="s">
        <v>12</v>
      </c>
      <c r="M33" s="18" t="s">
        <v>28</v>
      </c>
      <c r="N33" s="18" t="s">
        <v>29</v>
      </c>
    </row>
    <row r="34" ht="27">
      <c r="D34" s="5" t="s">
        <v>14</v>
      </c>
      <c r="E34" s="5" t="s">
        <v>15</v>
      </c>
      <c r="F34" s="5">
        <v>106</v>
      </c>
      <c r="G34" s="4">
        <v>1684</v>
      </c>
      <c r="H34" s="19">
        <f t="shared" ref="H34:H45" si="5">G34*F34/1000000</f>
        <v>0.178504</v>
      </c>
      <c r="I34" s="5">
        <v>106</v>
      </c>
      <c r="J34" s="20">
        <v>1598</v>
      </c>
      <c r="K34" s="21">
        <f t="shared" ref="K34:K45" si="6">J34*I34/1000000</f>
        <v>0.16938800000000001</v>
      </c>
      <c r="L34" s="5">
        <v>106</v>
      </c>
      <c r="M34" s="20">
        <v>1733</v>
      </c>
      <c r="N34" s="21">
        <f t="shared" ref="N34:N45" si="7">M34*L34/1000000</f>
        <v>0.183698</v>
      </c>
    </row>
    <row r="35" ht="16.5">
      <c r="D35" s="5"/>
      <c r="E35" s="5" t="s">
        <v>16</v>
      </c>
      <c r="F35" s="5">
        <v>5.3899999999999997</v>
      </c>
      <c r="G35" s="4">
        <v>1684</v>
      </c>
      <c r="H35" s="19">
        <f t="shared" si="5"/>
        <v>0.0090767599999999997</v>
      </c>
      <c r="I35" s="5">
        <v>5.3899999999999997</v>
      </c>
      <c r="J35" s="20">
        <v>1598</v>
      </c>
      <c r="K35" s="21">
        <f t="shared" si="6"/>
        <v>0.0086132199999999996</v>
      </c>
      <c r="L35" s="5">
        <v>5.3899999999999997</v>
      </c>
      <c r="M35" s="20">
        <v>1733</v>
      </c>
      <c r="N35" s="21">
        <f t="shared" si="7"/>
        <v>0.0093408699999999994</v>
      </c>
    </row>
    <row r="36" ht="16.5">
      <c r="D36" s="5"/>
      <c r="E36" s="5" t="s">
        <v>17</v>
      </c>
      <c r="F36" s="5">
        <v>0.017000000000000001</v>
      </c>
      <c r="G36" s="4">
        <v>1684</v>
      </c>
      <c r="H36" s="19">
        <f t="shared" si="5"/>
        <v>2.8628000000000001e-05</v>
      </c>
      <c r="I36" s="5">
        <v>0.017000000000000001</v>
      </c>
      <c r="J36" s="20">
        <v>1598</v>
      </c>
      <c r="K36" s="21">
        <f t="shared" si="6"/>
        <v>2.7166e-05</v>
      </c>
      <c r="L36" s="5">
        <v>0.017000000000000001</v>
      </c>
      <c r="M36" s="20">
        <v>1733</v>
      </c>
      <c r="N36" s="21">
        <f t="shared" si="7"/>
        <v>2.9461000000000001e-05</v>
      </c>
    </row>
    <row r="37" ht="16.5">
      <c r="D37" s="5"/>
      <c r="E37" s="5" t="s">
        <v>18</v>
      </c>
      <c r="F37" s="5">
        <v>0.13</v>
      </c>
      <c r="G37" s="4">
        <v>1684</v>
      </c>
      <c r="H37" s="19">
        <f t="shared" si="5"/>
        <v>0.00021892</v>
      </c>
      <c r="I37" s="5">
        <v>0.13</v>
      </c>
      <c r="J37" s="20">
        <v>1598</v>
      </c>
      <c r="K37" s="21">
        <f t="shared" si="6"/>
        <v>0.00020774000000000001</v>
      </c>
      <c r="L37" s="5">
        <v>0.13</v>
      </c>
      <c r="M37" s="20">
        <v>1733</v>
      </c>
      <c r="N37" s="21">
        <f t="shared" si="7"/>
        <v>0.00022529000000000001</v>
      </c>
    </row>
    <row r="38" ht="16.5">
      <c r="D38" s="5"/>
      <c r="E38" s="5" t="s">
        <v>19</v>
      </c>
      <c r="F38" s="5">
        <v>16</v>
      </c>
      <c r="G38" s="4">
        <v>1684</v>
      </c>
      <c r="H38" s="19">
        <f t="shared" si="5"/>
        <v>0.026943999999999999</v>
      </c>
      <c r="I38" s="5">
        <v>16</v>
      </c>
      <c r="J38" s="20">
        <v>1598</v>
      </c>
      <c r="K38" s="21">
        <f t="shared" si="6"/>
        <v>0.025568</v>
      </c>
      <c r="L38" s="5">
        <v>16</v>
      </c>
      <c r="M38" s="20">
        <v>1733</v>
      </c>
      <c r="N38" s="21">
        <f t="shared" si="7"/>
        <v>0.027727999999999999</v>
      </c>
    </row>
    <row r="39" ht="16.5">
      <c r="D39" s="5"/>
      <c r="E39" s="5" t="s">
        <v>20</v>
      </c>
      <c r="F39" s="5">
        <v>2.5800000000000001</v>
      </c>
      <c r="G39" s="4">
        <v>1684</v>
      </c>
      <c r="H39" s="19">
        <f t="shared" si="5"/>
        <v>0.0043447199999999998</v>
      </c>
      <c r="I39" s="5">
        <v>2.5800000000000001</v>
      </c>
      <c r="J39" s="20">
        <v>1598</v>
      </c>
      <c r="K39" s="21">
        <f t="shared" si="6"/>
        <v>0.00412284</v>
      </c>
      <c r="L39" s="5">
        <v>2.5800000000000001</v>
      </c>
      <c r="M39" s="20">
        <v>1733</v>
      </c>
      <c r="N39" s="21">
        <f t="shared" si="7"/>
        <v>0.0044711400000000002</v>
      </c>
    </row>
    <row r="40" ht="16.5">
      <c r="D40" s="5"/>
      <c r="E40" s="5" t="s">
        <v>21</v>
      </c>
      <c r="F40" s="5">
        <v>0.10000000000000001</v>
      </c>
      <c r="G40" s="4">
        <v>1684</v>
      </c>
      <c r="H40" s="19">
        <f t="shared" si="5"/>
        <v>0.0001684</v>
      </c>
      <c r="I40" s="5">
        <v>0.10000000000000001</v>
      </c>
      <c r="J40" s="20">
        <v>1598</v>
      </c>
      <c r="K40" s="21">
        <f t="shared" si="6"/>
        <v>0.00015980000000000001</v>
      </c>
      <c r="L40" s="5">
        <v>0.10000000000000001</v>
      </c>
      <c r="M40" s="20">
        <v>1733</v>
      </c>
      <c r="N40" s="21">
        <f t="shared" si="7"/>
        <v>0.00017330000000000001</v>
      </c>
    </row>
    <row r="41" ht="16.5">
      <c r="D41" s="5"/>
      <c r="E41" s="5" t="s">
        <v>22</v>
      </c>
      <c r="F41" s="5">
        <v>0.12</v>
      </c>
      <c r="G41" s="4">
        <v>1684</v>
      </c>
      <c r="H41" s="19">
        <f t="shared" si="5"/>
        <v>0.00020207999999999999</v>
      </c>
      <c r="I41" s="5">
        <v>0.12</v>
      </c>
      <c r="J41" s="20">
        <v>1598</v>
      </c>
      <c r="K41" s="21">
        <f t="shared" si="6"/>
        <v>0.00019175999999999999</v>
      </c>
      <c r="L41" s="5">
        <v>0.12</v>
      </c>
      <c r="M41" s="20">
        <v>1733</v>
      </c>
      <c r="N41" s="21">
        <f t="shared" si="7"/>
        <v>0.00020796000000000001</v>
      </c>
    </row>
    <row r="42" ht="16.5">
      <c r="D42" s="5"/>
      <c r="E42" s="5" t="s">
        <v>23</v>
      </c>
      <c r="F42" s="5">
        <v>0.071999999999999995</v>
      </c>
      <c r="G42" s="4">
        <v>1684</v>
      </c>
      <c r="H42" s="19">
        <f t="shared" si="5"/>
        <v>0.000121248</v>
      </c>
      <c r="I42" s="5">
        <v>0.071999999999999995</v>
      </c>
      <c r="J42" s="20">
        <v>1598</v>
      </c>
      <c r="K42" s="21">
        <f t="shared" si="6"/>
        <v>0.000115056</v>
      </c>
      <c r="L42" s="5">
        <v>0.071999999999999995</v>
      </c>
      <c r="M42" s="20">
        <v>1733</v>
      </c>
      <c r="N42" s="21">
        <f t="shared" si="7"/>
        <v>0.000124776</v>
      </c>
    </row>
    <row r="43">
      <c r="D43" s="5"/>
      <c r="E43" s="5" t="s">
        <v>24</v>
      </c>
      <c r="F43" s="5">
        <v>29.399999999999999</v>
      </c>
      <c r="G43" s="4">
        <v>1684</v>
      </c>
      <c r="H43" s="19">
        <f t="shared" si="5"/>
        <v>0.049509600000000001</v>
      </c>
      <c r="I43" s="5">
        <v>29.399999999999999</v>
      </c>
      <c r="J43" s="20">
        <v>1598</v>
      </c>
      <c r="K43" s="21">
        <f t="shared" si="6"/>
        <v>0.046981200000000001</v>
      </c>
      <c r="L43" s="5">
        <v>29.399999999999999</v>
      </c>
      <c r="M43" s="20">
        <v>1733</v>
      </c>
      <c r="N43" s="21">
        <f t="shared" si="7"/>
        <v>0.050950200000000001</v>
      </c>
    </row>
    <row r="44" ht="16.5">
      <c r="D44" s="5"/>
      <c r="E44" s="5" t="s">
        <v>25</v>
      </c>
      <c r="F44" s="5">
        <v>66.299999999999997</v>
      </c>
      <c r="G44" s="4">
        <v>1684</v>
      </c>
      <c r="H44" s="19">
        <f t="shared" si="5"/>
        <v>0.1116492</v>
      </c>
      <c r="I44" s="5">
        <v>66.299999999999997</v>
      </c>
      <c r="J44" s="20">
        <v>1598</v>
      </c>
      <c r="K44" s="21">
        <f t="shared" si="6"/>
        <v>0.1059474</v>
      </c>
      <c r="L44" s="5">
        <v>66.299999999999997</v>
      </c>
      <c r="M44" s="20">
        <v>1733</v>
      </c>
      <c r="N44" s="21">
        <f t="shared" si="7"/>
        <v>0.1148979</v>
      </c>
    </row>
    <row r="45" ht="16.5">
      <c r="D45" s="5"/>
      <c r="E45" s="5" t="s">
        <v>26</v>
      </c>
      <c r="F45" s="5">
        <v>0.34999999999999998</v>
      </c>
      <c r="G45" s="4">
        <v>1684</v>
      </c>
      <c r="H45" s="19">
        <f t="shared" si="5"/>
        <v>0.00058940000000000002</v>
      </c>
      <c r="I45" s="5">
        <v>0.34999999999999998</v>
      </c>
      <c r="J45" s="20">
        <v>1598</v>
      </c>
      <c r="K45" s="21">
        <f t="shared" si="6"/>
        <v>0.00055929999999999999</v>
      </c>
      <c r="L45" s="5">
        <v>0.34999999999999998</v>
      </c>
      <c r="M45" s="20">
        <v>1733</v>
      </c>
      <c r="N45" s="21">
        <f t="shared" si="7"/>
        <v>0.00060654999999999997</v>
      </c>
    </row>
    <row r="46">
      <c r="D46" s="4"/>
      <c r="E46" s="4" t="s">
        <v>27</v>
      </c>
      <c r="F46" s="14">
        <v>7.5</v>
      </c>
      <c r="G46" s="15"/>
      <c r="H46" s="13"/>
      <c r="I46" s="14">
        <v>7.5</v>
      </c>
      <c r="J46" s="15"/>
      <c r="K46" s="13"/>
      <c r="L46" s="14">
        <v>7.5</v>
      </c>
      <c r="M46" s="15"/>
      <c r="N46" s="13"/>
    </row>
  </sheetData>
  <mergeCells count="18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  <mergeCell ref="D32:D33"/>
    <mergeCell ref="E32:E33"/>
    <mergeCell ref="F32:H32"/>
    <mergeCell ref="I32:K32"/>
    <mergeCell ref="L32:N32"/>
    <mergeCell ref="F46:H46"/>
    <mergeCell ref="I46:K46"/>
    <mergeCell ref="L46:N4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20" workbookViewId="0">
      <selection activeCell="M26" activeCellId="0" sqref="M26"/>
    </sheetView>
  </sheetViews>
  <sheetFormatPr defaultColWidth="9" defaultRowHeight="15"/>
  <sheetData>
    <row r="2" ht="2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5" t="s">
        <v>6</v>
      </c>
      <c r="B3" s="5" t="s">
        <v>7</v>
      </c>
      <c r="C3" s="22" t="s">
        <v>8</v>
      </c>
      <c r="D3" s="22"/>
      <c r="E3" s="22"/>
      <c r="F3" s="22"/>
      <c r="G3" s="22" t="s">
        <v>9</v>
      </c>
      <c r="H3" s="22"/>
      <c r="I3" s="22"/>
      <c r="J3" s="22"/>
      <c r="K3" s="22" t="s">
        <v>10</v>
      </c>
      <c r="L3" s="22"/>
      <c r="M3" s="22"/>
      <c r="N3" s="22"/>
      <c r="O3" s="23" t="s">
        <v>11</v>
      </c>
    </row>
    <row r="4" ht="33">
      <c r="A4" s="5"/>
      <c r="B4" s="5"/>
      <c r="C4" s="5" t="s">
        <v>31</v>
      </c>
      <c r="D4" s="5" t="s">
        <v>32</v>
      </c>
      <c r="E4" s="5" t="s">
        <v>33</v>
      </c>
      <c r="F4" s="5" t="s">
        <v>13</v>
      </c>
      <c r="G4" s="5" t="s">
        <v>31</v>
      </c>
      <c r="H4" s="5" t="s">
        <v>32</v>
      </c>
      <c r="I4" s="5" t="s">
        <v>33</v>
      </c>
      <c r="J4" s="5" t="s">
        <v>13</v>
      </c>
      <c r="K4" s="5" t="s">
        <v>31</v>
      </c>
      <c r="L4" s="5" t="s">
        <v>32</v>
      </c>
      <c r="M4" s="5" t="s">
        <v>33</v>
      </c>
      <c r="N4" s="5" t="s">
        <v>13</v>
      </c>
      <c r="O4" s="23"/>
    </row>
    <row r="5" ht="18">
      <c r="A5" s="5" t="s">
        <v>34</v>
      </c>
      <c r="B5" s="5" t="s">
        <v>35</v>
      </c>
      <c r="C5" s="5">
        <v>6.2000000000000002</v>
      </c>
      <c r="D5" s="24">
        <v>9085</v>
      </c>
      <c r="E5" s="5">
        <v>480</v>
      </c>
      <c r="F5" s="8">
        <f t="shared" ref="F5:F16" si="8">C5*D5*E5/1000000000</f>
        <v>0.027036959999999999</v>
      </c>
      <c r="G5" s="5">
        <v>6.2000000000000002</v>
      </c>
      <c r="H5" s="24">
        <v>9085</v>
      </c>
      <c r="I5" s="5">
        <v>320</v>
      </c>
      <c r="J5" s="8">
        <f t="shared" ref="J5:J16" si="9">G5*H5*I5/1000000000</f>
        <v>0.018024640000000001</v>
      </c>
      <c r="K5" s="5">
        <v>6.2000000000000002</v>
      </c>
      <c r="L5" s="24">
        <v>9085</v>
      </c>
      <c r="M5" s="5">
        <v>448</v>
      </c>
      <c r="N5" s="8">
        <f t="shared" ref="N5:N16" si="10">K5*L5*M5/1000000000</f>
        <v>0.025234495999999999</v>
      </c>
      <c r="O5" s="25">
        <f t="shared" ref="O5:O35" si="11">N5+J5+F5</f>
        <v>0.070296096000000002</v>
      </c>
    </row>
    <row r="6" ht="18">
      <c r="A6" s="5" t="s">
        <v>36</v>
      </c>
      <c r="B6" s="5" t="s">
        <v>35</v>
      </c>
      <c r="C6" s="5">
        <v>2.7999999999999998</v>
      </c>
      <c r="D6" s="24">
        <v>4650</v>
      </c>
      <c r="E6" s="5">
        <v>480</v>
      </c>
      <c r="F6" s="8">
        <f t="shared" si="8"/>
        <v>0.0062496000000000001</v>
      </c>
      <c r="G6" s="5">
        <v>2.7999999999999998</v>
      </c>
      <c r="H6" s="24">
        <v>4650</v>
      </c>
      <c r="I6" s="5">
        <v>320</v>
      </c>
      <c r="J6" s="8">
        <f t="shared" si="9"/>
        <v>0.0041663999999999998</v>
      </c>
      <c r="K6" s="5">
        <v>2.7999999999999998</v>
      </c>
      <c r="L6" s="24">
        <v>4650</v>
      </c>
      <c r="M6" s="5">
        <v>432</v>
      </c>
      <c r="N6" s="8">
        <f t="shared" si="10"/>
        <v>0.0056246400000000002</v>
      </c>
      <c r="O6" s="25">
        <f t="shared" si="11"/>
        <v>0.016040639999999998</v>
      </c>
    </row>
    <row r="7" ht="18">
      <c r="A7" s="5" t="s">
        <v>37</v>
      </c>
      <c r="B7" s="5" t="s">
        <v>35</v>
      </c>
      <c r="C7" s="5">
        <v>2.5</v>
      </c>
      <c r="D7" s="24">
        <v>5183</v>
      </c>
      <c r="E7" s="5">
        <v>480</v>
      </c>
      <c r="F7" s="8">
        <f t="shared" si="8"/>
        <v>0.0062195999999999996</v>
      </c>
      <c r="G7" s="5">
        <v>2.5</v>
      </c>
      <c r="H7" s="24">
        <v>5183</v>
      </c>
      <c r="I7" s="5">
        <v>320</v>
      </c>
      <c r="J7" s="8">
        <f t="shared" si="9"/>
        <v>0.0041463999999999997</v>
      </c>
      <c r="K7" s="5">
        <v>2.5</v>
      </c>
      <c r="L7" s="24">
        <v>5183</v>
      </c>
      <c r="M7" s="5">
        <v>432</v>
      </c>
      <c r="N7" s="8">
        <f t="shared" si="10"/>
        <v>0.0055976400000000001</v>
      </c>
      <c r="O7" s="25">
        <f t="shared" si="11"/>
        <v>0.015963640000000001</v>
      </c>
    </row>
    <row r="8" ht="18">
      <c r="A8" s="5" t="s">
        <v>38</v>
      </c>
      <c r="B8" s="5" t="s">
        <v>35</v>
      </c>
      <c r="C8" s="5">
        <v>3</v>
      </c>
      <c r="D8" s="24">
        <v>10765</v>
      </c>
      <c r="E8" s="5">
        <v>672</v>
      </c>
      <c r="F8" s="8">
        <f t="shared" si="8"/>
        <v>0.021702240000000001</v>
      </c>
      <c r="G8" s="5">
        <v>3</v>
      </c>
      <c r="H8" s="24">
        <v>10765</v>
      </c>
      <c r="I8" s="5">
        <v>448</v>
      </c>
      <c r="J8" s="8">
        <f t="shared" si="9"/>
        <v>0.014468160000000001</v>
      </c>
      <c r="K8" s="5">
        <v>3</v>
      </c>
      <c r="L8" s="24">
        <v>10765</v>
      </c>
      <c r="M8" s="5">
        <v>624</v>
      </c>
      <c r="N8" s="8">
        <f t="shared" si="10"/>
        <v>0.020152079999999999</v>
      </c>
      <c r="O8" s="25">
        <f t="shared" si="11"/>
        <v>0.056322480000000001</v>
      </c>
    </row>
    <row r="9" ht="18">
      <c r="A9" s="5" t="s">
        <v>39</v>
      </c>
      <c r="B9" s="5" t="s">
        <v>35</v>
      </c>
      <c r="C9" s="5">
        <v>2.5</v>
      </c>
      <c r="D9" s="24">
        <v>7652</v>
      </c>
      <c r="E9" s="5">
        <v>672</v>
      </c>
      <c r="F9" s="8">
        <f t="shared" si="8"/>
        <v>0.01285536</v>
      </c>
      <c r="G9" s="5">
        <v>2.5</v>
      </c>
      <c r="H9" s="24">
        <v>7652</v>
      </c>
      <c r="I9" s="5">
        <v>448</v>
      </c>
      <c r="J9" s="8">
        <f t="shared" si="9"/>
        <v>0.0085702399999999998</v>
      </c>
      <c r="K9" s="5">
        <v>2.5</v>
      </c>
      <c r="L9" s="24">
        <v>7652</v>
      </c>
      <c r="M9" s="5">
        <v>624</v>
      </c>
      <c r="N9" s="8">
        <f t="shared" si="10"/>
        <v>0.011937120000000001</v>
      </c>
      <c r="O9" s="25">
        <f t="shared" si="11"/>
        <v>0.033362719999999998</v>
      </c>
    </row>
    <row r="10" ht="18">
      <c r="A10" s="5" t="s">
        <v>40</v>
      </c>
      <c r="B10" s="5" t="s">
        <v>35</v>
      </c>
      <c r="C10" s="5">
        <v>2.5</v>
      </c>
      <c r="D10" s="24">
        <v>13002</v>
      </c>
      <c r="E10" s="5">
        <v>480</v>
      </c>
      <c r="F10" s="8">
        <f t="shared" si="8"/>
        <v>0.015602400000000001</v>
      </c>
      <c r="G10" s="5">
        <v>2.5</v>
      </c>
      <c r="H10" s="24">
        <v>13002</v>
      </c>
      <c r="I10" s="5">
        <v>320</v>
      </c>
      <c r="J10" s="8">
        <f t="shared" si="9"/>
        <v>0.0104016</v>
      </c>
      <c r="K10" s="5">
        <v>2.5</v>
      </c>
      <c r="L10" s="24">
        <v>13002</v>
      </c>
      <c r="M10" s="5">
        <v>432</v>
      </c>
      <c r="N10" s="8">
        <f t="shared" si="10"/>
        <v>0.01404216</v>
      </c>
      <c r="O10" s="25">
        <f t="shared" si="11"/>
        <v>0.040046159999999997</v>
      </c>
    </row>
    <row r="11" ht="18">
      <c r="A11" s="5" t="s">
        <v>41</v>
      </c>
      <c r="B11" s="5" t="s">
        <v>35</v>
      </c>
      <c r="C11" s="5">
        <v>3.8999999999999999</v>
      </c>
      <c r="D11" s="24">
        <v>19259</v>
      </c>
      <c r="E11" s="5">
        <v>240</v>
      </c>
      <c r="F11" s="8">
        <f t="shared" si="8"/>
        <v>0.018026423999999999</v>
      </c>
      <c r="G11" s="5">
        <v>3.8999999999999999</v>
      </c>
      <c r="H11" s="24">
        <v>19259</v>
      </c>
      <c r="I11" s="5">
        <v>160</v>
      </c>
      <c r="J11" s="8">
        <f t="shared" si="9"/>
        <v>0.012017616</v>
      </c>
      <c r="K11" s="5">
        <v>3.8999999999999999</v>
      </c>
      <c r="L11" s="24">
        <v>19259</v>
      </c>
      <c r="M11" s="5">
        <v>216</v>
      </c>
      <c r="N11" s="8">
        <f t="shared" si="10"/>
        <v>0.016223781600000001</v>
      </c>
      <c r="O11" s="25">
        <f t="shared" si="11"/>
        <v>0.046267821600000002</v>
      </c>
    </row>
    <row r="12" ht="18">
      <c r="A12" s="5" t="s">
        <v>42</v>
      </c>
      <c r="B12" s="5" t="s">
        <v>35</v>
      </c>
      <c r="C12" s="5">
        <v>5.5</v>
      </c>
      <c r="D12" s="24">
        <v>8802</v>
      </c>
      <c r="E12" s="5">
        <v>480</v>
      </c>
      <c r="F12" s="8">
        <f t="shared" si="8"/>
        <v>0.023237279999999999</v>
      </c>
      <c r="G12" s="5">
        <v>5.5</v>
      </c>
      <c r="H12" s="24">
        <v>8802</v>
      </c>
      <c r="I12" s="5">
        <v>320</v>
      </c>
      <c r="J12" s="8">
        <f t="shared" si="9"/>
        <v>0.01549152</v>
      </c>
      <c r="K12" s="5">
        <v>5.5</v>
      </c>
      <c r="L12" s="24">
        <v>8802</v>
      </c>
      <c r="M12" s="5">
        <v>432</v>
      </c>
      <c r="N12" s="8">
        <f t="shared" si="10"/>
        <v>0.020913551999999998</v>
      </c>
      <c r="O12" s="25">
        <f t="shared" si="11"/>
        <v>0.059642352000000003</v>
      </c>
    </row>
    <row r="13" ht="18">
      <c r="A13" s="5" t="s">
        <v>43</v>
      </c>
      <c r="B13" s="5" t="s">
        <v>35</v>
      </c>
      <c r="C13" s="5">
        <v>2.2999999999999998</v>
      </c>
      <c r="D13" s="24">
        <v>17394</v>
      </c>
      <c r="E13" s="5">
        <v>240</v>
      </c>
      <c r="F13" s="8">
        <f t="shared" si="8"/>
        <v>0.009601488</v>
      </c>
      <c r="G13" s="5">
        <v>2.2999999999999998</v>
      </c>
      <c r="H13" s="24">
        <v>17394</v>
      </c>
      <c r="I13" s="5">
        <v>160</v>
      </c>
      <c r="J13" s="8">
        <f t="shared" si="9"/>
        <v>0.0064009920000000003</v>
      </c>
      <c r="K13" s="5">
        <v>2.2999999999999998</v>
      </c>
      <c r="L13" s="24">
        <v>17394</v>
      </c>
      <c r="M13" s="5">
        <v>216</v>
      </c>
      <c r="N13" s="8">
        <f t="shared" si="10"/>
        <v>0.0086413392000000006</v>
      </c>
      <c r="O13" s="25">
        <f t="shared" si="11"/>
        <v>0.0246438192</v>
      </c>
    </row>
    <row r="14" ht="18">
      <c r="A14" s="5" t="s">
        <v>44</v>
      </c>
      <c r="B14" s="5" t="s">
        <v>35</v>
      </c>
      <c r="C14" s="5">
        <v>3.1000000000000001</v>
      </c>
      <c r="D14" s="24">
        <v>18767</v>
      </c>
      <c r="E14" s="5">
        <v>252</v>
      </c>
      <c r="F14" s="8">
        <f t="shared" si="8"/>
        <v>0.0146607804</v>
      </c>
      <c r="G14" s="5">
        <v>3.1000000000000001</v>
      </c>
      <c r="H14" s="24">
        <v>18767</v>
      </c>
      <c r="I14" s="5">
        <v>184</v>
      </c>
      <c r="J14" s="8">
        <f t="shared" si="9"/>
        <v>0.0107046968</v>
      </c>
      <c r="K14" s="5">
        <v>3.1000000000000001</v>
      </c>
      <c r="L14" s="24">
        <v>18767</v>
      </c>
      <c r="M14" s="5">
        <v>252</v>
      </c>
      <c r="N14" s="8">
        <f t="shared" si="10"/>
        <v>0.0146607804</v>
      </c>
      <c r="O14" s="25">
        <f t="shared" si="11"/>
        <v>0.040026257599999997</v>
      </c>
    </row>
    <row r="15" ht="16.5">
      <c r="A15" s="22" t="s">
        <v>45</v>
      </c>
      <c r="B15" s="5" t="s">
        <v>35</v>
      </c>
      <c r="C15" s="5">
        <v>2.2000000000000002</v>
      </c>
      <c r="D15" s="5">
        <v>282</v>
      </c>
      <c r="E15" s="5">
        <v>240</v>
      </c>
      <c r="F15" s="8">
        <f t="shared" si="8"/>
        <v>0.00014889600000000001</v>
      </c>
      <c r="G15" s="5">
        <v>2.2000000000000002</v>
      </c>
      <c r="H15" s="5">
        <v>282</v>
      </c>
      <c r="I15" s="5">
        <v>160</v>
      </c>
      <c r="J15" s="8">
        <f t="shared" si="9"/>
        <v>9.9264000000000004e-05</v>
      </c>
      <c r="K15" s="5">
        <v>2.2000000000000002</v>
      </c>
      <c r="L15" s="5">
        <v>282</v>
      </c>
      <c r="M15" s="5">
        <v>216</v>
      </c>
      <c r="N15" s="8">
        <f t="shared" si="10"/>
        <v>0.00013400639999999999</v>
      </c>
      <c r="O15" s="25">
        <f t="shared" si="11"/>
        <v>0.0003821664</v>
      </c>
    </row>
    <row r="16" ht="16.5">
      <c r="A16" s="22" t="s">
        <v>46</v>
      </c>
      <c r="B16" s="5" t="s">
        <v>35</v>
      </c>
      <c r="C16" s="5">
        <v>2.5</v>
      </c>
      <c r="D16" s="5">
        <v>1604</v>
      </c>
      <c r="E16" s="5">
        <v>210</v>
      </c>
      <c r="F16" s="8">
        <f t="shared" si="8"/>
        <v>0.00084210000000000003</v>
      </c>
      <c r="G16" s="5">
        <v>2.5</v>
      </c>
      <c r="H16" s="5">
        <v>1604</v>
      </c>
      <c r="I16" s="5">
        <v>140</v>
      </c>
      <c r="J16" s="8">
        <f t="shared" si="9"/>
        <v>0.00056139999999999998</v>
      </c>
      <c r="K16" s="5">
        <v>2.5</v>
      </c>
      <c r="L16" s="5">
        <v>1604</v>
      </c>
      <c r="M16" s="5">
        <v>189</v>
      </c>
      <c r="N16" s="8">
        <f t="shared" si="10"/>
        <v>0.00075789</v>
      </c>
      <c r="O16" s="25">
        <f t="shared" si="11"/>
        <v>0.00216139</v>
      </c>
    </row>
    <row r="17">
      <c r="A17" s="22" t="s">
        <v>47</v>
      </c>
      <c r="B17" s="26"/>
      <c r="C17" s="5"/>
      <c r="D17" s="5"/>
      <c r="E17" s="5"/>
      <c r="F17" s="8">
        <f>SUM(F5:F16)</f>
        <v>0.15618312840000001</v>
      </c>
      <c r="G17" s="5"/>
      <c r="H17" s="5"/>
      <c r="I17" s="5"/>
      <c r="J17" s="8">
        <f>SUM(J5:J16)</f>
        <v>0.1050529288</v>
      </c>
      <c r="K17" s="5"/>
      <c r="L17" s="5"/>
      <c r="M17" s="5"/>
      <c r="N17" s="8">
        <f>SUM(N5:N16)</f>
        <v>0.14391948560000001</v>
      </c>
      <c r="O17" s="27">
        <f t="shared" si="11"/>
        <v>0.40515554279999999</v>
      </c>
    </row>
    <row r="18" ht="16.5">
      <c r="A18" s="5" t="s">
        <v>39</v>
      </c>
      <c r="B18" s="22" t="s">
        <v>48</v>
      </c>
      <c r="C18" s="22">
        <v>1.5</v>
      </c>
      <c r="D18" s="5">
        <v>7652</v>
      </c>
      <c r="E18" s="22">
        <v>672</v>
      </c>
      <c r="F18" s="28">
        <f t="shared" ref="F18:F22" si="12">C18*D18*E18/1000000000</f>
        <v>0.0077132160000000002</v>
      </c>
      <c r="G18" s="22">
        <v>1.5</v>
      </c>
      <c r="H18" s="5">
        <v>7652</v>
      </c>
      <c r="I18" s="22">
        <v>448</v>
      </c>
      <c r="J18" s="28">
        <f>I18*H18*G18/1000000000</f>
        <v>0.0051421440000000004</v>
      </c>
      <c r="K18" s="22">
        <v>1.5</v>
      </c>
      <c r="L18" s="5">
        <v>7652</v>
      </c>
      <c r="M18" s="22">
        <v>624</v>
      </c>
      <c r="N18" s="28">
        <f>M18*L18*K18/1000000000</f>
        <v>0.0071622719999999999</v>
      </c>
      <c r="O18" s="25">
        <f t="shared" si="11"/>
        <v>0.020017632</v>
      </c>
    </row>
    <row r="19">
      <c r="A19" s="22" t="s">
        <v>45</v>
      </c>
      <c r="B19" s="22" t="s">
        <v>48</v>
      </c>
      <c r="C19" s="22">
        <v>59</v>
      </c>
      <c r="D19" s="5">
        <v>282</v>
      </c>
      <c r="E19" s="5">
        <v>240</v>
      </c>
      <c r="F19" s="28">
        <f t="shared" si="12"/>
        <v>0.0039931200000000002</v>
      </c>
      <c r="G19" s="22">
        <v>59</v>
      </c>
      <c r="H19" s="5">
        <v>282</v>
      </c>
      <c r="I19" s="5">
        <v>160</v>
      </c>
      <c r="J19" s="28">
        <f t="shared" ref="J19:J22" si="13">G19*H19*I19/1000000000</f>
        <v>0.0026620799999999998</v>
      </c>
      <c r="K19" s="22">
        <v>59</v>
      </c>
      <c r="L19" s="5">
        <v>282</v>
      </c>
      <c r="M19" s="5">
        <v>216</v>
      </c>
      <c r="N19" s="28">
        <f t="shared" ref="N19:N22" si="14">K19*L19*M19/1000000000</f>
        <v>0.003593808</v>
      </c>
      <c r="O19" s="25">
        <f t="shared" si="11"/>
        <v>0.010249008</v>
      </c>
    </row>
    <row r="20">
      <c r="A20" s="22" t="s">
        <v>46</v>
      </c>
      <c r="B20" s="22" t="s">
        <v>48</v>
      </c>
      <c r="C20" s="22">
        <v>29</v>
      </c>
      <c r="D20" s="5">
        <v>1604</v>
      </c>
      <c r="E20" s="5">
        <v>210</v>
      </c>
      <c r="F20" s="28">
        <f t="shared" si="12"/>
        <v>0.0097683600000000002</v>
      </c>
      <c r="G20" s="22">
        <v>29</v>
      </c>
      <c r="H20" s="5">
        <v>1604</v>
      </c>
      <c r="I20" s="5">
        <v>140</v>
      </c>
      <c r="J20" s="28">
        <f t="shared" si="13"/>
        <v>0.0065122399999999999</v>
      </c>
      <c r="K20" s="22">
        <v>29</v>
      </c>
      <c r="L20" s="5">
        <v>1604</v>
      </c>
      <c r="M20" s="5">
        <v>189</v>
      </c>
      <c r="N20" s="28">
        <f t="shared" si="14"/>
        <v>0.0087915240000000002</v>
      </c>
      <c r="O20" s="25">
        <f t="shared" si="11"/>
        <v>0.025072124000000001</v>
      </c>
    </row>
    <row r="21" ht="18">
      <c r="A21" s="22" t="s">
        <v>49</v>
      </c>
      <c r="B21" s="22" t="s">
        <v>48</v>
      </c>
      <c r="C21" s="23">
        <v>1.5</v>
      </c>
      <c r="D21" s="29">
        <v>368</v>
      </c>
      <c r="E21" s="5">
        <v>92</v>
      </c>
      <c r="F21" s="28">
        <f t="shared" si="12"/>
        <v>5.0784e-05</v>
      </c>
      <c r="G21" s="23">
        <v>1.5</v>
      </c>
      <c r="H21" s="29">
        <v>368</v>
      </c>
      <c r="I21" s="5">
        <v>96</v>
      </c>
      <c r="J21" s="28">
        <f t="shared" si="13"/>
        <v>5.2991999999999997e-05</v>
      </c>
      <c r="K21" s="23">
        <v>1.5</v>
      </c>
      <c r="L21" s="29">
        <v>368</v>
      </c>
      <c r="M21" s="5">
        <v>92</v>
      </c>
      <c r="N21" s="28">
        <f t="shared" si="14"/>
        <v>5.0784e-05</v>
      </c>
      <c r="O21" s="25">
        <f t="shared" si="11"/>
        <v>0.00015456000000000001</v>
      </c>
    </row>
    <row r="22">
      <c r="A22" s="22" t="s">
        <v>50</v>
      </c>
      <c r="B22" s="22" t="s">
        <v>48</v>
      </c>
      <c r="C22" s="23">
        <v>17</v>
      </c>
      <c r="D22" s="23">
        <v>2792</v>
      </c>
      <c r="E22" s="22">
        <v>352</v>
      </c>
      <c r="F22" s="28">
        <f t="shared" si="12"/>
        <v>0.016707328</v>
      </c>
      <c r="G22" s="23">
        <v>17</v>
      </c>
      <c r="H22" s="23">
        <v>2792</v>
      </c>
      <c r="I22" s="22">
        <v>384</v>
      </c>
      <c r="J22" s="28">
        <f t="shared" si="13"/>
        <v>0.018226176</v>
      </c>
      <c r="K22" s="23">
        <v>17</v>
      </c>
      <c r="L22" s="23">
        <v>2792</v>
      </c>
      <c r="M22" s="22">
        <v>464</v>
      </c>
      <c r="N22" s="28">
        <f t="shared" si="14"/>
        <v>0.022023296000000001</v>
      </c>
      <c r="O22" s="25">
        <f t="shared" si="11"/>
        <v>0.056956800000000002</v>
      </c>
    </row>
    <row r="23" ht="16.5">
      <c r="A23" s="5" t="s">
        <v>47</v>
      </c>
      <c r="B23" s="22"/>
      <c r="C23" s="22"/>
      <c r="D23" s="22"/>
      <c r="E23" s="5"/>
      <c r="F23" s="28">
        <f>SUM(F18:F22)</f>
        <v>0.038232808</v>
      </c>
      <c r="G23" s="22"/>
      <c r="H23" s="22"/>
      <c r="I23" s="5"/>
      <c r="J23" s="28">
        <f>SUM(J18:J22)</f>
        <v>0.032595631999999999</v>
      </c>
      <c r="K23" s="22"/>
      <c r="L23" s="22"/>
      <c r="M23" s="5"/>
      <c r="N23" s="28">
        <f>SUM(N18:N22)</f>
        <v>0.041621683999999999</v>
      </c>
      <c r="O23" s="30">
        <f t="shared" si="11"/>
        <v>0.112450124</v>
      </c>
    </row>
    <row r="24" ht="16.5">
      <c r="A24" s="5" t="s">
        <v>39</v>
      </c>
      <c r="B24" s="22" t="s">
        <v>51</v>
      </c>
      <c r="C24" s="22">
        <v>1.5</v>
      </c>
      <c r="D24" s="5">
        <v>7652</v>
      </c>
      <c r="E24" s="5">
        <v>672</v>
      </c>
      <c r="F24" s="28">
        <f t="shared" ref="F24:F26" si="15">C24*D24*E24/1000000000</f>
        <v>0.0077132160000000002</v>
      </c>
      <c r="G24" s="22">
        <v>1.5</v>
      </c>
      <c r="H24" s="5">
        <v>7652</v>
      </c>
      <c r="I24" s="5">
        <v>448</v>
      </c>
      <c r="J24" s="28">
        <f t="shared" ref="J24:J26" si="16">G24*H24*I24/1000000000</f>
        <v>0.0051421440000000004</v>
      </c>
      <c r="K24" s="22">
        <v>1.5</v>
      </c>
      <c r="L24" s="5">
        <v>7652</v>
      </c>
      <c r="M24" s="5">
        <v>624</v>
      </c>
      <c r="N24" s="28">
        <f t="shared" ref="N24:N26" si="17">K24*L24*M24/1000000000</f>
        <v>0.0071622719999999999</v>
      </c>
      <c r="O24" s="31">
        <f t="shared" si="11"/>
        <v>0.020017632</v>
      </c>
    </row>
    <row r="25">
      <c r="A25" s="22" t="s">
        <v>45</v>
      </c>
      <c r="B25" s="22" t="s">
        <v>51</v>
      </c>
      <c r="C25" s="22">
        <v>11</v>
      </c>
      <c r="D25" s="5">
        <v>282</v>
      </c>
      <c r="E25" s="5">
        <v>240</v>
      </c>
      <c r="F25" s="28">
        <f t="shared" si="15"/>
        <v>0.00074447999999999995</v>
      </c>
      <c r="G25" s="22">
        <v>11</v>
      </c>
      <c r="H25" s="5">
        <v>282</v>
      </c>
      <c r="I25" s="5">
        <v>160</v>
      </c>
      <c r="J25" s="28">
        <f t="shared" si="16"/>
        <v>0.00049631999999999996</v>
      </c>
      <c r="K25" s="22">
        <v>11</v>
      </c>
      <c r="L25" s="5">
        <v>282</v>
      </c>
      <c r="M25" s="5">
        <v>216</v>
      </c>
      <c r="N25" s="28">
        <f t="shared" si="17"/>
        <v>0.00067003199999999998</v>
      </c>
      <c r="O25" s="31">
        <f t="shared" si="11"/>
        <v>0.0019108319999999999</v>
      </c>
    </row>
    <row r="26">
      <c r="A26" s="22" t="s">
        <v>46</v>
      </c>
      <c r="B26" s="22" t="s">
        <v>51</v>
      </c>
      <c r="C26" s="22">
        <v>1.5</v>
      </c>
      <c r="D26" s="5">
        <v>1604</v>
      </c>
      <c r="E26" s="5">
        <v>210</v>
      </c>
      <c r="F26" s="28">
        <f t="shared" si="15"/>
        <v>0.00050526</v>
      </c>
      <c r="G26" s="22">
        <v>1.5</v>
      </c>
      <c r="H26" s="5">
        <v>1604</v>
      </c>
      <c r="I26" s="5">
        <v>140</v>
      </c>
      <c r="J26" s="28">
        <f t="shared" si="16"/>
        <v>0.00033683999999999998</v>
      </c>
      <c r="K26" s="22">
        <v>1.5</v>
      </c>
      <c r="L26" s="5">
        <v>1604</v>
      </c>
      <c r="M26" s="5">
        <v>189</v>
      </c>
      <c r="N26" s="28">
        <f t="shared" si="17"/>
        <v>0.00045473399999999999</v>
      </c>
      <c r="O26" s="31">
        <f t="shared" si="11"/>
        <v>0.001296834</v>
      </c>
    </row>
    <row r="27">
      <c r="A27" s="22" t="s">
        <v>47</v>
      </c>
      <c r="B27" s="22"/>
      <c r="C27" s="22"/>
      <c r="D27" s="22"/>
      <c r="E27" s="5"/>
      <c r="F27" s="28">
        <f>SUM(F24:F26)</f>
        <v>0.0089629559999999994</v>
      </c>
      <c r="G27" s="22"/>
      <c r="H27" s="22"/>
      <c r="I27" s="5"/>
      <c r="J27" s="28">
        <f>SUM(J24:J26)</f>
        <v>0.0059753039999999999</v>
      </c>
      <c r="K27" s="22"/>
      <c r="L27" s="22"/>
      <c r="M27" s="5"/>
      <c r="N27" s="32">
        <f>SUM(N24:N26)</f>
        <v>0.008287038</v>
      </c>
      <c r="O27" s="30">
        <f t="shared" si="11"/>
        <v>0.023225297999999998</v>
      </c>
    </row>
    <row r="28">
      <c r="A28" s="23" t="s">
        <v>52</v>
      </c>
      <c r="B28" s="23" t="s">
        <v>53</v>
      </c>
      <c r="C28" s="23">
        <v>1.0900000000000001</v>
      </c>
      <c r="D28" s="23">
        <v>9623</v>
      </c>
      <c r="E28" s="22">
        <v>270</v>
      </c>
      <c r="F28" s="28">
        <f t="shared" ref="F28:F32" si="18">C28*D28*E28/1000000000</f>
        <v>0.0028320489000000001</v>
      </c>
      <c r="G28" s="23">
        <v>1.0900000000000001</v>
      </c>
      <c r="H28" s="23">
        <v>9623</v>
      </c>
      <c r="I28" s="22">
        <v>180</v>
      </c>
      <c r="J28" s="28">
        <f>I28*H28*G28/1000000000</f>
        <v>0.0018880326</v>
      </c>
      <c r="K28" s="23">
        <v>1.0900000000000001</v>
      </c>
      <c r="L28" s="23">
        <v>9623</v>
      </c>
      <c r="M28" s="22">
        <v>252</v>
      </c>
      <c r="N28" s="28">
        <f>M28*L28*K28/1000000000</f>
        <v>0.0026432456399999998</v>
      </c>
      <c r="O28" s="25">
        <f t="shared" si="11"/>
        <v>0.0073633271399999997</v>
      </c>
    </row>
    <row r="29">
      <c r="A29" s="23" t="s">
        <v>39</v>
      </c>
      <c r="B29" s="23" t="s">
        <v>53</v>
      </c>
      <c r="C29" s="23">
        <v>1.29</v>
      </c>
      <c r="D29" s="5">
        <v>7652</v>
      </c>
      <c r="E29" s="23">
        <v>672</v>
      </c>
      <c r="F29" s="28">
        <f t="shared" si="18"/>
        <v>0.00663336576</v>
      </c>
      <c r="G29" s="23">
        <v>1.29</v>
      </c>
      <c r="H29" s="5">
        <v>7652</v>
      </c>
      <c r="I29" s="23">
        <v>448</v>
      </c>
      <c r="J29" s="25">
        <f t="shared" ref="J29:J32" si="19">G29*H29*I29/1000000000</f>
        <v>0.0044222438400000003</v>
      </c>
      <c r="K29" s="23">
        <v>1.29</v>
      </c>
      <c r="L29" s="5">
        <v>7652</v>
      </c>
      <c r="M29" s="23">
        <v>624</v>
      </c>
      <c r="N29" s="25">
        <f t="shared" ref="N29:N32" si="20">K29*L29*M29/1000000000</f>
        <v>0.0061595539199999997</v>
      </c>
      <c r="O29" s="25">
        <f t="shared" si="11"/>
        <v>0.01721516352</v>
      </c>
    </row>
    <row r="30">
      <c r="A30" s="22" t="s">
        <v>47</v>
      </c>
      <c r="B30" s="23"/>
      <c r="C30" s="23"/>
      <c r="D30" s="23"/>
      <c r="E30" s="23"/>
      <c r="F30" s="25">
        <f>SUM(F28:F29)</f>
        <v>0.0094654146599999992</v>
      </c>
      <c r="G30" s="23"/>
      <c r="H30" s="23"/>
      <c r="I30" s="23"/>
      <c r="J30" s="25">
        <f>SUM(J28:J29)</f>
        <v>0.0063102764400000001</v>
      </c>
      <c r="K30" s="23"/>
      <c r="L30" s="23"/>
      <c r="M30" s="23"/>
      <c r="N30" s="25">
        <f>SUM(N28:N29)</f>
        <v>0.0088027995599999995</v>
      </c>
      <c r="O30" s="30">
        <f t="shared" si="11"/>
        <v>0.024578490660000001</v>
      </c>
    </row>
    <row r="31">
      <c r="A31" s="22" t="s">
        <v>49</v>
      </c>
      <c r="B31" s="22" t="s">
        <v>20</v>
      </c>
      <c r="C31" s="23">
        <v>8.4000000000000004</v>
      </c>
      <c r="D31" s="23">
        <v>368</v>
      </c>
      <c r="E31" s="23">
        <v>92</v>
      </c>
      <c r="F31" s="25">
        <f t="shared" si="18"/>
        <v>0.00028439040000000001</v>
      </c>
      <c r="G31" s="23">
        <v>8.4000000000000004</v>
      </c>
      <c r="H31" s="23">
        <v>368</v>
      </c>
      <c r="I31" s="23">
        <v>96</v>
      </c>
      <c r="J31" s="25">
        <f t="shared" si="19"/>
        <v>0.00029675520000000001</v>
      </c>
      <c r="K31" s="23">
        <v>8.4000000000000004</v>
      </c>
      <c r="L31" s="23">
        <v>368</v>
      </c>
      <c r="M31" s="23">
        <v>92</v>
      </c>
      <c r="N31" s="25">
        <f t="shared" si="20"/>
        <v>0.00028439040000000001</v>
      </c>
      <c r="O31" s="25">
        <f t="shared" si="11"/>
        <v>0.00086553599999999997</v>
      </c>
    </row>
    <row r="32">
      <c r="A32" s="22" t="s">
        <v>50</v>
      </c>
      <c r="B32" s="22" t="s">
        <v>20</v>
      </c>
      <c r="C32" s="23">
        <v>3.23</v>
      </c>
      <c r="D32" s="23">
        <v>2792</v>
      </c>
      <c r="E32" s="23">
        <v>352</v>
      </c>
      <c r="F32" s="25">
        <f t="shared" si="18"/>
        <v>0.0031743923199999999</v>
      </c>
      <c r="G32" s="23">
        <v>3.23</v>
      </c>
      <c r="H32" s="23">
        <v>2792</v>
      </c>
      <c r="I32" s="23">
        <v>384</v>
      </c>
      <c r="J32" s="25">
        <f t="shared" si="19"/>
        <v>0.0034629734399999998</v>
      </c>
      <c r="K32" s="23">
        <v>3.23</v>
      </c>
      <c r="L32" s="23">
        <v>2792</v>
      </c>
      <c r="M32" s="23">
        <v>464</v>
      </c>
      <c r="N32" s="25">
        <f t="shared" si="20"/>
        <v>0.0041844262399999997</v>
      </c>
      <c r="O32" s="25">
        <f t="shared" si="11"/>
        <v>0.010821792</v>
      </c>
    </row>
    <row r="33">
      <c r="A33" s="22" t="s">
        <v>54</v>
      </c>
      <c r="B33" s="23"/>
      <c r="C33" s="23"/>
      <c r="D33" s="23"/>
      <c r="E33" s="23"/>
      <c r="F33" s="25">
        <f>SUM(F31:F32)</f>
        <v>0.0034587827199999998</v>
      </c>
      <c r="G33" s="23"/>
      <c r="H33" s="23"/>
      <c r="I33" s="23"/>
      <c r="J33" s="25">
        <f>SUM(J31:J32)</f>
        <v>0.00375972864</v>
      </c>
      <c r="K33" s="23"/>
      <c r="L33" s="23"/>
      <c r="M33" s="23"/>
      <c r="N33" s="25">
        <f>SUM(N31:N32)</f>
        <v>0.0044688166399999996</v>
      </c>
      <c r="O33" s="30">
        <f t="shared" si="11"/>
        <v>0.011687328</v>
      </c>
    </row>
    <row r="34">
      <c r="A34" s="22" t="s">
        <v>50</v>
      </c>
      <c r="B34" s="22" t="s">
        <v>55</v>
      </c>
      <c r="C34" s="23">
        <v>8.5999999999999996</v>
      </c>
      <c r="D34" s="23">
        <v>2792</v>
      </c>
      <c r="E34" s="23">
        <v>352</v>
      </c>
      <c r="F34" s="25">
        <f>C34*D34*E34/1000000000</f>
        <v>0.0084519424000000006</v>
      </c>
      <c r="G34" s="23">
        <v>8.5999999999999996</v>
      </c>
      <c r="H34" s="23">
        <v>2792</v>
      </c>
      <c r="I34" s="23">
        <v>384</v>
      </c>
      <c r="J34" s="25">
        <f>G34*H34*I34/1000000000</f>
        <v>0.0092203007999999993</v>
      </c>
      <c r="K34" s="23">
        <v>8.5999999999999996</v>
      </c>
      <c r="L34" s="23">
        <v>2792</v>
      </c>
      <c r="M34" s="23">
        <v>464</v>
      </c>
      <c r="N34" s="25">
        <f>K34*L34*M34/1000000000</f>
        <v>0.011141196799999999</v>
      </c>
      <c r="O34" s="25">
        <f t="shared" si="11"/>
        <v>0.028813439999999999</v>
      </c>
    </row>
    <row r="35">
      <c r="A35" s="22" t="s">
        <v>47</v>
      </c>
      <c r="B35" s="22"/>
      <c r="C35" s="23"/>
      <c r="D35" s="23"/>
      <c r="E35" s="23"/>
      <c r="F35" s="25">
        <f>SUM(F34:F34)</f>
        <v>0.0084519424000000006</v>
      </c>
      <c r="G35" s="23"/>
      <c r="H35" s="23"/>
      <c r="I35" s="23"/>
      <c r="J35" s="25">
        <f>SUM(J34:J34)</f>
        <v>0.0092203007999999993</v>
      </c>
      <c r="K35" s="23"/>
      <c r="L35" s="23"/>
      <c r="M35" s="23"/>
      <c r="N35" s="25">
        <f>SUM(N34:N34)</f>
        <v>0.011141196799999999</v>
      </c>
      <c r="O35" s="30">
        <f t="shared" si="11"/>
        <v>0.028813439999999999</v>
      </c>
    </row>
  </sheetData>
  <mergeCells count="6">
    <mergeCell ref="A2:O2"/>
    <mergeCell ref="C3:F3"/>
    <mergeCell ref="G3:J3"/>
    <mergeCell ref="K3:N3"/>
    <mergeCell ref="A3:A4"/>
    <mergeCell ref="B3:B4"/>
  </mergeCells>
  <printOptions headings="0" gridLines="0"/>
  <pageMargins left="0.30694444444444402" right="0.30694444444444402" top="0.35763888888888901" bottom="0.35763888888888901" header="0.29861111111111094" footer="0.2986111111111109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2021-08-12T13:42:00Z</dcterms:created>
  <dcterms:modified xsi:type="dcterms:W3CDTF">2026-01-23T09:23:14Z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1033-12.1.2.23578</vt:lpwstr>
  </property>
  <property fmtid="{D5CDD505-2E9C-101B-9397-08002B2CF9AE}" pid="3" name="ICV">
    <vt:lpwstr>ABFA383FE37E413BB80DDC4427B60B8F</vt:lpwstr>
  </property>
</Properties>
</file>