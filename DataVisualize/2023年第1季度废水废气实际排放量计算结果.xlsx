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废水" sheetId="1" state="visible" r:id="rId1"/>
    <sheet name="废气" sheetId="2" state="visible" r:id="rId2"/>
    <sheet name="Sheet3" sheetId="3" state="visible" r:id="rId3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<sst xmlns="http://schemas.openxmlformats.org/spreadsheetml/2006/main" count="54" uniqueCount="54">
  <si>
    <t>2023年第1季度废水实际排放量计算结果</t>
  </si>
  <si>
    <t>月份</t>
  </si>
  <si>
    <t>用水量m³</t>
  </si>
  <si>
    <t>排放量m³</t>
  </si>
  <si>
    <t>累计运行时间d</t>
  </si>
  <si>
    <t>流量m³/d</t>
  </si>
  <si>
    <t>排放口</t>
  </si>
  <si>
    <t>污染物名称</t>
  </si>
  <si>
    <t>1月</t>
  </si>
  <si>
    <t>2月</t>
  </si>
  <si>
    <t>3月</t>
  </si>
  <si>
    <t>合计</t>
  </si>
  <si>
    <t>浓度mg/L</t>
  </si>
  <si>
    <t>实际排放量t</t>
  </si>
  <si>
    <t>总排放口</t>
  </si>
  <si>
    <t>COD</t>
  </si>
  <si>
    <t>氨氮</t>
  </si>
  <si>
    <t>六价铬</t>
  </si>
  <si>
    <t>石油类</t>
  </si>
  <si>
    <t>悬浮物</t>
  </si>
  <si>
    <t>氟化物</t>
  </si>
  <si>
    <t>铅</t>
  </si>
  <si>
    <t>镍</t>
  </si>
  <si>
    <t>铬</t>
  </si>
  <si>
    <t>BOD5</t>
  </si>
  <si>
    <t>总氮</t>
  </si>
  <si>
    <t>总磷</t>
  </si>
  <si>
    <t>PH</t>
  </si>
  <si>
    <t>2023年第1季度废气实际排放量计算结果</t>
  </si>
  <si>
    <t>浓度mg/m³</t>
  </si>
  <si>
    <t>排气量m³/h</t>
  </si>
  <si>
    <t>累计运行时间h</t>
  </si>
  <si>
    <t>背层</t>
  </si>
  <si>
    <t>颗粒物</t>
  </si>
  <si>
    <t>面层</t>
  </si>
  <si>
    <t>面层二层</t>
  </si>
  <si>
    <t>中频炉</t>
  </si>
  <si>
    <t>焙烧炉</t>
  </si>
  <si>
    <t>切割</t>
  </si>
  <si>
    <t>喷砂北</t>
  </si>
  <si>
    <t>喷砂南</t>
  </si>
  <si>
    <t>精磨</t>
  </si>
  <si>
    <t>抛光</t>
  </si>
  <si>
    <t>燃气锅炉</t>
  </si>
  <si>
    <t>真空热水锅炉</t>
  </si>
  <si>
    <t>总计</t>
  </si>
  <si>
    <t>NOX</t>
  </si>
  <si>
    <t>装配酸雾塔</t>
  </si>
  <si>
    <t>后整理酸雾塔</t>
  </si>
  <si>
    <t>SO2</t>
  </si>
  <si>
    <t>组树</t>
  </si>
  <si>
    <t>VOC</t>
  </si>
  <si>
    <t>小计</t>
  </si>
  <si>
    <t>氯化氢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</si>
</sst>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2">
    <numFmt numFmtId="164" formatCode="_ * #,##0.00_ ;_ * \-#,##0.00_ ;_ * &quot;-&quot;??_ ;_ @_ "/>
    <numFmt numFmtId="165" formatCode="_ &quot;￥&quot;* #,##0.00_ ;_ &quot;￥&quot;* \-#,##0.00_ ;_ &quot;￥&quot;* &quot;-&quot;??_ ;_ @_ "/>
    <numFmt numFmtId="166" formatCode="_ * #,##0_ ;_ * \-#,##0_ ;_ * &quot;-&quot;_ ;_ @_ "/>
    <numFmt numFmtId="167" formatCode="_ &quot;￥&quot;* #,##0_ ;_ &quot;￥&quot;* \-#,##0_ ;_ &quot;￥&quot;* &quot;-&quot;_ ;_ @_ "/>
    <numFmt numFmtId="168" formatCode="0.00000;[Red]0.00000"/>
    <numFmt numFmtId="169" formatCode="0.00000_ "/>
    <numFmt numFmtId="170" formatCode="0.000000;[Red]0.000000"/>
    <numFmt numFmtId="171" formatCode="0.0000000;[Red]0.0000000"/>
    <numFmt numFmtId="172" formatCode="0.0000000_ "/>
    <numFmt numFmtId="173" formatCode="0.000000_ "/>
    <numFmt numFmtId="174" formatCode="0.0000;[Red]0.0000"/>
    <numFmt numFmtId="175" formatCode="0.0000_ "/>
  </numFmts>
  <fonts count="22">
    <font>
      <sz val="11.000000"/>
      <color theme="1"/>
      <name val="Calibri"/>
      <scheme val="minor"/>
    </font>
    <font>
      <u/>
      <sz val="11.000000"/>
      <color indexed="4"/>
      <name val="Calibri"/>
      <scheme val="minor"/>
    </font>
    <font>
      <u/>
      <sz val="11.000000"/>
      <color indexed="20"/>
      <name val="Calibri"/>
      <scheme val="minor"/>
    </font>
    <font>
      <sz val="11.000000"/>
      <color indexed="2"/>
      <name val="Calibri"/>
      <scheme val="minor"/>
    </font>
    <font>
      <b/>
      <sz val="18.000000"/>
      <color theme="3"/>
      <name val="Calibri"/>
      <scheme val="minor"/>
    </font>
    <font>
      <i/>
      <sz val="11.000000"/>
      <color rgb="FF7F7F7F"/>
      <name val="Calibri"/>
      <scheme val="minor"/>
    </font>
    <font>
      <b/>
      <sz val="15.000000"/>
      <color theme="3"/>
      <name val="Calibri"/>
      <scheme val="minor"/>
    </font>
    <font>
      <b/>
      <sz val="13.000000"/>
      <color theme="3"/>
      <name val="Calibri"/>
      <scheme val="minor"/>
    </font>
    <font>
      <b/>
      <sz val="11.000000"/>
      <color theme="3"/>
      <name val="Calibri"/>
      <scheme val="minor"/>
    </font>
    <font>
      <sz val="11.000000"/>
      <color rgb="FF3F3F76"/>
      <name val="Calibri"/>
      <scheme val="minor"/>
    </font>
    <font>
      <b/>
      <sz val="11.000000"/>
      <color rgb="FF3F3F3F"/>
      <name val="Calibri"/>
      <scheme val="minor"/>
    </font>
    <font>
      <b/>
      <sz val="11.000000"/>
      <color rgb="FFFA7D00"/>
      <name val="Calibri"/>
      <scheme val="minor"/>
    </font>
    <font>
      <b/>
      <sz val="11.000000"/>
      <color indexed="65"/>
      <name val="Calibri"/>
      <scheme val="minor"/>
    </font>
    <font>
      <sz val="11.000000"/>
      <color rgb="FFFA7D00"/>
      <name val="Calibri"/>
      <scheme val="minor"/>
    </font>
    <font>
      <b/>
      <sz val="11.000000"/>
      <color theme="1"/>
      <name val="Calibri"/>
      <scheme val="minor"/>
    </font>
    <font>
      <sz val="11.000000"/>
      <color rgb="FF006100"/>
      <name val="Calibri"/>
      <scheme val="minor"/>
    </font>
    <font>
      <sz val="11.000000"/>
      <color rgb="FF9C0006"/>
      <name val="Calibri"/>
      <scheme val="minor"/>
    </font>
    <font>
      <sz val="11.000000"/>
      <color rgb="FF9C6500"/>
      <name val="Calibri"/>
      <scheme val="minor"/>
    </font>
    <font>
      <sz val="11.000000"/>
      <color theme="0"/>
      <name val="Calibri"/>
      <scheme val="minor"/>
    </font>
    <font>
      <sz val="16.000000"/>
      <color theme="1"/>
      <name val="Calibri"/>
      <scheme val="minor"/>
    </font>
    <font>
      <sz val="10.000000"/>
      <name val="Calibri"/>
      <scheme val="minor"/>
    </font>
    <font>
      <sz val="10.000000"/>
      <color theme="1"/>
      <name val="Calibri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8168889431398"/>
      </patternFill>
    </fill>
    <fill>
      <patternFill patternType="solid">
        <fgColor theme="4" tint="0.59999389629810496"/>
      </patternFill>
    </fill>
    <fill>
      <patternFill patternType="solid">
        <fgColor theme="4" tint="0.39997558519241899"/>
      </patternFill>
    </fill>
    <fill>
      <patternFill patternType="solid">
        <fgColor theme="5"/>
      </patternFill>
    </fill>
    <fill>
      <patternFill patternType="solid">
        <fgColor theme="5" tint="0.79998168889431398"/>
      </patternFill>
    </fill>
    <fill>
      <patternFill patternType="solid">
        <fgColor theme="5" tint="0.59999389629810496"/>
      </patternFill>
    </fill>
    <fill>
      <patternFill patternType="solid">
        <fgColor theme="5" tint="0.39997558519241899"/>
      </patternFill>
    </fill>
    <fill>
      <patternFill patternType="solid">
        <fgColor theme="6"/>
      </patternFill>
    </fill>
    <fill>
      <patternFill patternType="solid">
        <fgColor theme="6" tint="0.79998168889431398"/>
      </patternFill>
    </fill>
    <fill>
      <patternFill patternType="solid">
        <fgColor theme="6" tint="0.59999389629810496"/>
      </patternFill>
    </fill>
    <fill>
      <patternFill patternType="solid">
        <fgColor theme="6" tint="0.39997558519241899"/>
      </patternFill>
    </fill>
    <fill>
      <patternFill patternType="solid">
        <fgColor theme="7"/>
      </patternFill>
    </fill>
    <fill>
      <patternFill patternType="solid">
        <fgColor theme="7" tint="0.79998168889431398"/>
      </patternFill>
    </fill>
    <fill>
      <patternFill patternType="solid">
        <fgColor theme="7" tint="0.59999389629810496"/>
      </patternFill>
    </fill>
    <fill>
      <patternFill patternType="solid">
        <fgColor theme="7" tint="0.39997558519241899"/>
      </patternFill>
    </fill>
    <fill>
      <patternFill patternType="solid">
        <fgColor theme="8"/>
      </patternFill>
    </fill>
    <fill>
      <patternFill patternType="solid">
        <fgColor theme="8" tint="0.79998168889431398"/>
      </patternFill>
    </fill>
    <fill>
      <patternFill patternType="solid">
        <fgColor theme="8" tint="0.59999389629810496"/>
      </patternFill>
    </fill>
    <fill>
      <patternFill patternType="solid">
        <fgColor theme="8" tint="0.39997558519241899"/>
      </patternFill>
    </fill>
    <fill>
      <patternFill patternType="solid">
        <fgColor theme="9"/>
      </patternFill>
    </fill>
    <fill>
      <patternFill patternType="solid">
        <fgColor theme="9" tint="0.79998168889431398"/>
      </patternFill>
    </fill>
    <fill>
      <patternFill patternType="solid">
        <fgColor theme="9" tint="0.59999389629810496"/>
      </patternFill>
    </fill>
    <fill>
      <patternFill patternType="solid">
        <fgColor theme="9" tint="0.39997558519241899"/>
      </patternFill>
    </fill>
    <fill>
      <patternFill patternType="solid">
        <fgColor rgb="FF6EF86E"/>
      </patternFill>
    </fill>
  </fills>
  <borders count="13">
    <border>
      <left style="none"/>
      <right style="none"/>
      <top style="none"/>
      <bottom style="none"/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none"/>
      <right style="none"/>
      <top style="none"/>
      <bottom style="medium">
        <color theme="4"/>
      </bottom>
      <diagonal style="none"/>
    </border>
    <border>
      <left style="none"/>
      <right style="none"/>
      <top style="none"/>
      <bottom style="medium">
        <color theme="4" tint="0.499984740745262"/>
      </bottom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none"/>
      <right style="none"/>
      <top style="none"/>
      <bottom style="double">
        <color rgb="FFFF8001"/>
      </bottom>
      <diagonal style="none"/>
    </border>
    <border>
      <left style="none"/>
      <right style="none"/>
      <top style="thin">
        <color theme="4"/>
      </top>
      <bottom style="double">
        <color theme="4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49">
    <xf fontId="0" fillId="0" borderId="0" numFmtId="0" applyNumberFormat="1" applyFont="1" applyFill="1" applyBorder="1">
      <alignment vertical="center"/>
    </xf>
    <xf fontId="0" fillId="0" borderId="0" numFmtId="164" applyNumberFormat="1" applyFont="0" applyFill="0" applyBorder="0" applyProtection="0">
      <alignment vertical="center"/>
    </xf>
    <xf fontId="0" fillId="0" borderId="0" numFmtId="165" applyNumberFormat="1" applyFont="0" applyFill="0" applyBorder="0" applyProtection="0">
      <alignment vertical="center"/>
    </xf>
    <xf fontId="0" fillId="0" borderId="0" numFmtId="9" applyNumberFormat="1" applyFont="0" applyFill="0" applyBorder="0" applyProtection="0">
      <alignment vertical="center"/>
    </xf>
    <xf fontId="0" fillId="0" borderId="0" numFmtId="166" applyNumberFormat="1" applyFont="0" applyFill="0" applyBorder="0" applyProtection="0">
      <alignment vertical="center"/>
    </xf>
    <xf fontId="0" fillId="0" borderId="0" numFmtId="167" applyNumberFormat="1" applyFont="0" applyFill="0" applyBorder="0" applyProtection="0">
      <alignment vertical="center"/>
    </xf>
    <xf fontId="1" fillId="0" borderId="0" numFmtId="0" applyNumberFormat="0" applyFont="1" applyFill="0" applyBorder="0" applyProtection="0">
      <alignment vertical="center"/>
    </xf>
    <xf fontId="2" fillId="0" borderId="0" numFmtId="0" applyNumberFormat="0" applyFont="1" applyFill="0" applyBorder="0" applyProtection="0">
      <alignment vertical="center"/>
    </xf>
    <xf fontId="0" fillId="2" borderId="1" numFmtId="0" applyNumberFormat="0" applyFont="0" applyFill="1" applyBorder="1" applyProtection="0">
      <alignment vertical="center"/>
    </xf>
    <xf fontId="3" fillId="0" borderId="0" numFmtId="0" applyNumberFormat="0" applyFont="1" applyFill="0" applyBorder="0" applyProtection="0">
      <alignment vertical="center"/>
    </xf>
    <xf fontId="4" fillId="0" borderId="0" numFmtId="0" applyNumberFormat="0" applyFont="1" applyFill="0" applyBorder="0" applyProtection="0">
      <alignment vertical="center"/>
    </xf>
    <xf fontId="5" fillId="0" borderId="0" numFmtId="0" applyNumberFormat="0" applyFont="1" applyFill="0" applyBorder="0" applyProtection="0">
      <alignment vertical="center"/>
    </xf>
    <xf fontId="6" fillId="0" borderId="2" numFmtId="0" applyNumberFormat="0" applyFont="1" applyFill="0" applyBorder="1" applyProtection="0">
      <alignment vertical="center"/>
    </xf>
    <xf fontId="7" fillId="0" borderId="2" numFmtId="0" applyNumberFormat="0" applyFont="1" applyFill="0" applyBorder="1" applyProtection="0">
      <alignment vertical="center"/>
    </xf>
    <xf fontId="8" fillId="0" borderId="3" numFmtId="0" applyNumberFormat="0" applyFont="1" applyFill="0" applyBorder="1" applyProtection="0">
      <alignment vertical="center"/>
    </xf>
    <xf fontId="8" fillId="0" borderId="0" numFmtId="0" applyNumberFormat="0" applyFont="1" applyFill="0" applyBorder="0" applyProtection="0">
      <alignment vertical="center"/>
    </xf>
    <xf fontId="9" fillId="3" borderId="4" numFmtId="0" applyNumberFormat="0" applyFont="1" applyFill="1" applyBorder="1" applyProtection="0">
      <alignment vertical="center"/>
    </xf>
    <xf fontId="10" fillId="4" borderId="5" numFmtId="0" applyNumberFormat="0" applyFont="1" applyFill="1" applyBorder="1" applyProtection="0">
      <alignment vertical="center"/>
    </xf>
    <xf fontId="11" fillId="4" borderId="4" numFmtId="0" applyNumberFormat="0" applyFont="1" applyFill="1" applyBorder="1" applyProtection="0">
      <alignment vertical="center"/>
    </xf>
    <xf fontId="12" fillId="5" borderId="6" numFmtId="0" applyNumberFormat="0" applyFont="1" applyFill="1" applyBorder="1" applyProtection="0">
      <alignment vertical="center"/>
    </xf>
    <xf fontId="13" fillId="0" borderId="7" numFmtId="0" applyNumberFormat="0" applyFont="1" applyFill="0" applyBorder="1" applyProtection="0">
      <alignment vertical="center"/>
    </xf>
    <xf fontId="14" fillId="0" borderId="8" numFmtId="0" applyNumberFormat="0" applyFont="1" applyFill="0" applyBorder="1" applyProtection="0">
      <alignment vertical="center"/>
    </xf>
    <xf fontId="15" fillId="6" borderId="0" numFmtId="0" applyNumberFormat="0" applyFont="1" applyFill="1" applyBorder="0" applyProtection="0">
      <alignment vertical="center"/>
    </xf>
    <xf fontId="16" fillId="7" borderId="0" numFmtId="0" applyNumberFormat="0" applyFont="1" applyFill="1" applyBorder="0" applyProtection="0">
      <alignment vertical="center"/>
    </xf>
    <xf fontId="17" fillId="8" borderId="0" numFmtId="0" applyNumberFormat="0" applyFont="1" applyFill="1" applyBorder="0" applyProtection="0">
      <alignment vertical="center"/>
    </xf>
    <xf fontId="18" fillId="9" borderId="0" numFmtId="0" applyNumberFormat="0" applyFont="1" applyFill="1" applyBorder="0" applyProtection="0">
      <alignment vertical="center"/>
    </xf>
    <xf fontId="0" fillId="10" borderId="0" numFmtId="0" applyNumberFormat="0" applyFont="1" applyFill="1" applyBorder="0" applyProtection="0">
      <alignment vertical="center"/>
    </xf>
    <xf fontId="0" fillId="11" borderId="0" numFmtId="0" applyNumberFormat="0" applyFont="1" applyFill="1" applyBorder="0" applyProtection="0">
      <alignment vertical="center"/>
    </xf>
    <xf fontId="18" fillId="12" borderId="0" numFmtId="0" applyNumberFormat="0" applyFont="1" applyFill="1" applyBorder="0" applyProtection="0">
      <alignment vertical="center"/>
    </xf>
    <xf fontId="18" fillId="13" borderId="0" numFmtId="0" applyNumberFormat="0" applyFont="1" applyFill="1" applyBorder="0" applyProtection="0">
      <alignment vertical="center"/>
    </xf>
    <xf fontId="0" fillId="14" borderId="0" numFmtId="0" applyNumberFormat="0" applyFont="1" applyFill="1" applyBorder="0" applyProtection="0">
      <alignment vertical="center"/>
    </xf>
    <xf fontId="0" fillId="15" borderId="0" numFmtId="0" applyNumberFormat="0" applyFont="1" applyFill="1" applyBorder="0" applyProtection="0">
      <alignment vertical="center"/>
    </xf>
    <xf fontId="18" fillId="16" borderId="0" numFmtId="0" applyNumberFormat="0" applyFont="1" applyFill="1" applyBorder="0" applyProtection="0">
      <alignment vertical="center"/>
    </xf>
    <xf fontId="18" fillId="17" borderId="0" numFmtId="0" applyNumberFormat="0" applyFont="1" applyFill="1" applyBorder="0" applyProtection="0">
      <alignment vertical="center"/>
    </xf>
    <xf fontId="0" fillId="18" borderId="0" numFmtId="0" applyNumberFormat="0" applyFont="1" applyFill="1" applyBorder="0" applyProtection="0">
      <alignment vertical="center"/>
    </xf>
    <xf fontId="0" fillId="19" borderId="0" numFmtId="0" applyNumberFormat="0" applyFont="1" applyFill="1" applyBorder="0" applyProtection="0">
      <alignment vertical="center"/>
    </xf>
    <xf fontId="18" fillId="20" borderId="0" numFmtId="0" applyNumberFormat="0" applyFont="1" applyFill="1" applyBorder="0" applyProtection="0">
      <alignment vertical="center"/>
    </xf>
    <xf fontId="18" fillId="21" borderId="0" numFmtId="0" applyNumberFormat="0" applyFont="1" applyFill="1" applyBorder="0" applyProtection="0">
      <alignment vertical="center"/>
    </xf>
    <xf fontId="0" fillId="22" borderId="0" numFmtId="0" applyNumberFormat="0" applyFont="1" applyFill="1" applyBorder="0" applyProtection="0">
      <alignment vertical="center"/>
    </xf>
    <xf fontId="0" fillId="23" borderId="0" numFmtId="0" applyNumberFormat="0" applyFont="1" applyFill="1" applyBorder="0" applyProtection="0">
      <alignment vertical="center"/>
    </xf>
    <xf fontId="18" fillId="24" borderId="0" numFmtId="0" applyNumberFormat="0" applyFont="1" applyFill="1" applyBorder="0" applyProtection="0">
      <alignment vertical="center"/>
    </xf>
    <xf fontId="18" fillId="25" borderId="0" numFmtId="0" applyNumberFormat="0" applyFont="1" applyFill="1" applyBorder="0" applyProtection="0">
      <alignment vertical="center"/>
    </xf>
    <xf fontId="0" fillId="26" borderId="0" numFmtId="0" applyNumberFormat="0" applyFont="1" applyFill="1" applyBorder="0" applyProtection="0">
      <alignment vertical="center"/>
    </xf>
    <xf fontId="0" fillId="27" borderId="0" numFmtId="0" applyNumberFormat="0" applyFont="1" applyFill="1" applyBorder="0" applyProtection="0">
      <alignment vertical="center"/>
    </xf>
    <xf fontId="18" fillId="28" borderId="0" numFmtId="0" applyNumberFormat="0" applyFont="1" applyFill="1" applyBorder="0" applyProtection="0">
      <alignment vertical="center"/>
    </xf>
    <xf fontId="18" fillId="29" borderId="0" numFmtId="0" applyNumberFormat="0" applyFont="1" applyFill="1" applyBorder="0" applyProtection="0">
      <alignment vertical="center"/>
    </xf>
    <xf fontId="0" fillId="30" borderId="0" numFmtId="0" applyNumberFormat="0" applyFont="1" applyFill="1" applyBorder="0" applyProtection="0">
      <alignment vertical="center"/>
    </xf>
    <xf fontId="0" fillId="31" borderId="0" numFmtId="0" applyNumberFormat="0" applyFont="1" applyFill="1" applyBorder="0" applyProtection="0">
      <alignment vertical="center"/>
    </xf>
    <xf fontId="18" fillId="32" borderId="0" numFmtId="0" applyNumberFormat="0" applyFont="1" applyFill="1" applyBorder="0" applyProtection="0">
      <alignment vertical="center"/>
    </xf>
  </cellStyleXfs>
  <cellXfs count="30">
    <xf fontId="0" fillId="0" borderId="0" numFmtId="0" xfId="0" applyAlignment="1">
      <alignment vertical="center"/>
    </xf>
    <xf fontId="0" fillId="0" borderId="0" numFmtId="168" xfId="0" applyNumberFormat="1" applyAlignment="1">
      <alignment vertical="center"/>
    </xf>
    <xf fontId="0" fillId="0" borderId="0" numFmtId="169" xfId="0" applyNumberFormat="1" applyAlignment="1">
      <alignment vertical="center"/>
    </xf>
    <xf fontId="19" fillId="0" borderId="0" numFmtId="0" xfId="0" applyFont="1" applyAlignment="1">
      <alignment horizontal="center" vertical="center"/>
    </xf>
    <xf fontId="19" fillId="0" borderId="0" numFmtId="168" xfId="0" applyNumberFormat="1" applyFont="1" applyAlignment="1">
      <alignment horizontal="center" vertical="center"/>
    </xf>
    <xf fontId="19" fillId="0" borderId="0" numFmtId="169" xfId="0" applyNumberFormat="1" applyFont="1" applyAlignment="1">
      <alignment horizontal="center" vertical="center"/>
    </xf>
    <xf fontId="0" fillId="0" borderId="9" numFmtId="0" xfId="0" applyBorder="1" applyAlignment="1">
      <alignment horizontal="center" vertical="center"/>
    </xf>
    <xf fontId="20" fillId="0" borderId="9" numFmtId="0" xfId="0" applyFont="1" applyBorder="1" applyAlignment="1">
      <alignment horizontal="center" vertical="center" wrapText="1"/>
    </xf>
    <xf fontId="0" fillId="0" borderId="0" numFmtId="168" xfId="0" applyNumberFormat="1" applyAlignment="1">
      <alignment horizontal="center" vertical="center"/>
    </xf>
    <xf fontId="0" fillId="0" borderId="0" numFmtId="0" xfId="0" applyAlignment="1">
      <alignment horizontal="center" vertical="center"/>
    </xf>
    <xf fontId="14" fillId="33" borderId="9" numFmtId="0" xfId="0" applyFont="1" applyFill="1" applyBorder="1" applyAlignment="1">
      <alignment horizontal="center" vertical="center"/>
    </xf>
    <xf fontId="20" fillId="0" borderId="9" numFmtId="168" xfId="0" applyNumberFormat="1" applyFont="1" applyBorder="1" applyAlignment="1">
      <alignment horizontal="center" vertical="center" wrapText="1"/>
    </xf>
    <xf fontId="20" fillId="0" borderId="9" numFmtId="169" xfId="0" applyNumberFormat="1" applyFont="1" applyBorder="1" applyAlignment="1">
      <alignment horizontal="center" vertical="center" wrapText="1"/>
    </xf>
    <xf fontId="20" fillId="0" borderId="9" numFmtId="170" xfId="0" applyNumberFormat="1" applyFont="1" applyBorder="1" applyAlignment="1">
      <alignment horizontal="center" vertical="center" wrapText="1"/>
    </xf>
    <xf fontId="20" fillId="0" borderId="9" numFmtId="171" xfId="0" applyNumberFormat="1" applyFont="1" applyBorder="1" applyAlignment="1">
      <alignment horizontal="center" vertical="center" wrapText="1"/>
    </xf>
    <xf fontId="20" fillId="0" borderId="9" numFmtId="172" xfId="0" applyNumberFormat="1" applyFont="1" applyBorder="1" applyAlignment="1">
      <alignment horizontal="center" vertical="center" wrapText="1"/>
    </xf>
    <xf fontId="20" fillId="0" borderId="9" numFmtId="173" xfId="0" applyNumberFormat="1" applyFont="1" applyBorder="1" applyAlignment="1">
      <alignment horizontal="center" vertical="center" wrapText="1"/>
    </xf>
    <xf fontId="20" fillId="0" borderId="9" numFmtId="174" xfId="0" applyNumberFormat="1" applyFont="1" applyBorder="1" applyAlignment="1">
      <alignment horizontal="center" vertical="center" wrapText="1"/>
    </xf>
    <xf fontId="20" fillId="0" borderId="9" numFmtId="175" xfId="0" applyNumberFormat="1" applyFont="1" applyBorder="1" applyAlignment="1">
      <alignment horizontal="center" vertical="center" wrapText="1"/>
    </xf>
    <xf fontId="0" fillId="0" borderId="10" numFmtId="0" xfId="0" applyBorder="1" applyAlignment="1">
      <alignment horizontal="center" vertical="center"/>
    </xf>
    <xf fontId="0" fillId="0" borderId="11" numFmtId="0" xfId="0" applyBorder="1" applyAlignment="1">
      <alignment horizontal="center" vertical="center"/>
    </xf>
    <xf fontId="0" fillId="0" borderId="12" numFmtId="0" xfId="0" applyBorder="1" applyAlignment="1">
      <alignment horizontal="center" vertical="center"/>
    </xf>
    <xf fontId="0" fillId="0" borderId="9" numFmtId="169" xfId="0" applyNumberFormat="1" applyBorder="1" applyAlignment="1">
      <alignment horizontal="center" vertical="center"/>
    </xf>
    <xf fontId="20" fillId="0" borderId="9" numFmtId="0" xfId="0" applyFont="1" applyBorder="1" applyAlignment="1">
      <alignment horizontal="center" vertical="center"/>
    </xf>
    <xf fontId="0" fillId="0" borderId="9" numFmtId="0" xfId="0" applyBorder="1" applyAlignment="1">
      <alignment vertical="center"/>
    </xf>
    <xf fontId="0" fillId="0" borderId="9" numFmtId="174" xfId="0" applyNumberFormat="1" applyBorder="1" applyAlignment="1">
      <alignment vertical="center"/>
    </xf>
    <xf fontId="21" fillId="0" borderId="9" numFmtId="174" xfId="0" applyNumberFormat="1" applyFont="1" applyBorder="1" applyAlignment="1">
      <alignment horizontal="center" vertical="center"/>
    </xf>
    <xf fontId="20" fillId="0" borderId="9" numFmtId="175" xfId="0" applyNumberFormat="1" applyFont="1" applyBorder="1" applyAlignment="1">
      <alignment horizontal="center" vertical="center"/>
    </xf>
    <xf fontId="21" fillId="0" borderId="9" numFmtId="0" xfId="0" applyFont="1" applyBorder="1" applyAlignment="1">
      <alignment horizontal="center" vertical="center"/>
    </xf>
    <xf fontId="21" fillId="0" borderId="0" numFmtId="0" xfId="0" applyFon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11" zoomScale="100" workbookViewId="0">
      <selection activeCell="F22" activeCellId="0" sqref="F22"/>
    </sheetView>
  </sheetViews>
  <sheetFormatPr defaultColWidth="9" defaultRowHeight="14.25"/>
  <cols>
    <col customWidth="1" min="1" max="1" width="7.25"/>
    <col customWidth="1" min="2" max="2" width="9.375"/>
    <col customWidth="1" min="3" max="3" width="7.75"/>
    <col customWidth="1" min="4" max="4" width="7.25"/>
    <col customWidth="1" min="5" max="5" width="9.5"/>
    <col customWidth="1" min="6" max="6" style="1" width="9.375"/>
    <col customWidth="1" min="9" max="9" width="7.875"/>
    <col min="10" max="10" style="2" width="10.125"/>
    <col customWidth="1" min="13" max="13" width="8"/>
    <col min="14" max="14" style="2" width="10.125"/>
    <col customWidth="1" min="15" max="15" style="2" width="9.375"/>
  </cols>
  <sheetData>
    <row r="1" ht="13.5" customHeight="1"/>
    <row r="3" ht="21">
      <c r="A3" s="3" t="s">
        <v>0</v>
      </c>
      <c r="B3" s="3"/>
      <c r="C3" s="3"/>
      <c r="D3" s="3"/>
      <c r="E3" s="3"/>
      <c r="F3" s="4"/>
      <c r="G3" s="3"/>
      <c r="H3" s="3"/>
      <c r="I3" s="3"/>
      <c r="J3" s="5"/>
      <c r="K3" s="3"/>
      <c r="L3" s="3"/>
      <c r="M3" s="3"/>
      <c r="N3" s="5"/>
      <c r="O3" s="5"/>
    </row>
    <row r="5" ht="27">
      <c r="A5" s="6" t="s">
        <v>1</v>
      </c>
      <c r="B5" s="6" t="s">
        <v>2</v>
      </c>
      <c r="C5" s="6" t="s">
        <v>3</v>
      </c>
      <c r="D5" s="7" t="s">
        <v>4</v>
      </c>
      <c r="E5" s="7" t="s">
        <v>5</v>
      </c>
      <c r="F5" s="8"/>
      <c r="G5" s="9"/>
      <c r="H5" s="9"/>
    </row>
    <row r="6">
      <c r="A6" s="6">
        <v>1</v>
      </c>
      <c r="B6" s="10">
        <v>4591</v>
      </c>
      <c r="C6" s="6">
        <v>1596</v>
      </c>
      <c r="D6" s="6">
        <v>28</v>
      </c>
      <c r="E6" s="6">
        <f>C6/D6</f>
        <v>57</v>
      </c>
      <c r="F6" s="8"/>
      <c r="G6" s="9"/>
      <c r="H6" s="9"/>
    </row>
    <row r="7">
      <c r="A7" s="6">
        <v>2</v>
      </c>
      <c r="B7" s="10">
        <v>4353</v>
      </c>
      <c r="C7" s="6">
        <v>1514</v>
      </c>
      <c r="D7" s="6">
        <v>23</v>
      </c>
      <c r="E7" s="6">
        <v>66</v>
      </c>
      <c r="F7" s="8"/>
      <c r="G7" s="9"/>
      <c r="H7" s="9"/>
    </row>
    <row r="8">
      <c r="A8" s="6">
        <v>3</v>
      </c>
      <c r="B8" s="10">
        <v>4133</v>
      </c>
      <c r="C8" s="6">
        <v>1437</v>
      </c>
      <c r="D8" s="6">
        <v>28</v>
      </c>
      <c r="E8" s="6">
        <v>51</v>
      </c>
      <c r="F8" s="8"/>
      <c r="G8" s="9"/>
      <c r="H8" s="9"/>
    </row>
    <row r="12">
      <c r="A12" s="7" t="s">
        <v>6</v>
      </c>
      <c r="B12" s="7" t="s">
        <v>7</v>
      </c>
      <c r="C12" s="7" t="s">
        <v>8</v>
      </c>
      <c r="D12" s="7"/>
      <c r="E12" s="7"/>
      <c r="F12" s="11"/>
      <c r="G12" s="7" t="s">
        <v>9</v>
      </c>
      <c r="H12" s="7"/>
      <c r="I12" s="7"/>
      <c r="J12" s="12"/>
      <c r="K12" s="7" t="s">
        <v>10</v>
      </c>
      <c r="L12" s="7"/>
      <c r="M12" s="7"/>
      <c r="N12" s="12"/>
      <c r="O12" s="12" t="s">
        <v>11</v>
      </c>
    </row>
    <row r="13" ht="27">
      <c r="A13" s="7"/>
      <c r="B13" s="7"/>
      <c r="C13" s="7" t="s">
        <v>12</v>
      </c>
      <c r="D13" s="7" t="s">
        <v>5</v>
      </c>
      <c r="E13" s="7" t="s">
        <v>4</v>
      </c>
      <c r="F13" s="11" t="s">
        <v>13</v>
      </c>
      <c r="G13" s="7" t="s">
        <v>12</v>
      </c>
      <c r="H13" s="7" t="s">
        <v>5</v>
      </c>
      <c r="I13" s="7" t="s">
        <v>4</v>
      </c>
      <c r="J13" s="12" t="s">
        <v>13</v>
      </c>
      <c r="K13" s="7" t="s">
        <v>12</v>
      </c>
      <c r="L13" s="7" t="s">
        <v>5</v>
      </c>
      <c r="M13" s="7" t="s">
        <v>4</v>
      </c>
      <c r="N13" s="12" t="s">
        <v>13</v>
      </c>
      <c r="O13" s="12"/>
    </row>
    <row r="14" ht="27">
      <c r="A14" s="7" t="s">
        <v>14</v>
      </c>
      <c r="B14" s="7" t="s">
        <v>15</v>
      </c>
      <c r="C14" s="7">
        <v>116</v>
      </c>
      <c r="D14" s="6">
        <v>57</v>
      </c>
      <c r="E14" s="6">
        <v>27</v>
      </c>
      <c r="F14" s="11">
        <v>0.17852399999999999</v>
      </c>
      <c r="G14" s="7">
        <v>116</v>
      </c>
      <c r="H14" s="6">
        <v>66</v>
      </c>
      <c r="I14" s="6">
        <v>23</v>
      </c>
      <c r="J14" s="12">
        <v>0.17608799999999999</v>
      </c>
      <c r="K14" s="7">
        <v>116</v>
      </c>
      <c r="L14" s="6">
        <v>51</v>
      </c>
      <c r="M14" s="6">
        <v>28</v>
      </c>
      <c r="N14" s="12">
        <v>0.16564799999999999</v>
      </c>
      <c r="O14" s="12">
        <v>0.52025999999999994</v>
      </c>
    </row>
    <row r="15" ht="16.5">
      <c r="A15" s="7"/>
      <c r="B15" s="7" t="s">
        <v>16</v>
      </c>
      <c r="C15" s="7">
        <v>2.0800000000000001</v>
      </c>
      <c r="D15" s="6">
        <v>57</v>
      </c>
      <c r="E15" s="6">
        <v>27</v>
      </c>
      <c r="F15" s="11">
        <v>0.00320112</v>
      </c>
      <c r="G15" s="7">
        <v>2.0800000000000001</v>
      </c>
      <c r="H15" s="6">
        <v>66</v>
      </c>
      <c r="I15" s="6">
        <v>23</v>
      </c>
      <c r="J15" s="12">
        <v>0.0031574400000000001</v>
      </c>
      <c r="K15" s="7">
        <v>2.0800000000000001</v>
      </c>
      <c r="L15" s="6">
        <v>51</v>
      </c>
      <c r="M15" s="6">
        <v>28</v>
      </c>
      <c r="N15" s="12">
        <v>0.0029702399999999999</v>
      </c>
      <c r="O15" s="12">
        <v>0.0093287999999999999</v>
      </c>
    </row>
    <row r="16" ht="16.5">
      <c r="A16" s="7"/>
      <c r="B16" s="7" t="s">
        <v>17</v>
      </c>
      <c r="C16" s="7">
        <v>0.068000000000000005</v>
      </c>
      <c r="D16" s="6">
        <v>57</v>
      </c>
      <c r="E16" s="6">
        <v>27</v>
      </c>
      <c r="F16" s="13">
        <v>0.000104652</v>
      </c>
      <c r="G16" s="7">
        <v>0.068000000000000005</v>
      </c>
      <c r="H16" s="6">
        <v>66</v>
      </c>
      <c r="I16" s="6">
        <v>23</v>
      </c>
      <c r="J16" s="13">
        <v>0.000103224</v>
      </c>
      <c r="K16" s="7">
        <v>0.068000000000000005</v>
      </c>
      <c r="L16" s="6">
        <v>51</v>
      </c>
      <c r="M16" s="6">
        <v>28</v>
      </c>
      <c r="N16" s="13">
        <v>9.7103999999999997e-05</v>
      </c>
      <c r="O16" s="13">
        <v>0.00030498</v>
      </c>
    </row>
    <row r="17" ht="16.5">
      <c r="A17" s="7"/>
      <c r="B17" s="7" t="s">
        <v>18</v>
      </c>
      <c r="C17" s="7">
        <v>0.22</v>
      </c>
      <c r="D17" s="6">
        <v>57</v>
      </c>
      <c r="E17" s="6">
        <v>27</v>
      </c>
      <c r="F17" s="11">
        <v>0.00033858</v>
      </c>
      <c r="G17" s="7">
        <v>0.22</v>
      </c>
      <c r="H17" s="6">
        <v>66</v>
      </c>
      <c r="I17" s="6">
        <v>23</v>
      </c>
      <c r="J17" s="12">
        <v>0.00033396000000000001</v>
      </c>
      <c r="K17" s="7">
        <v>0.22</v>
      </c>
      <c r="L17" s="6">
        <v>51</v>
      </c>
      <c r="M17" s="6">
        <v>28</v>
      </c>
      <c r="N17" s="12">
        <v>0.00031416000000000001</v>
      </c>
      <c r="O17" s="12">
        <v>0.00097999999999999997</v>
      </c>
    </row>
    <row r="18" ht="16.5">
      <c r="A18" s="7"/>
      <c r="B18" s="7" t="s">
        <v>19</v>
      </c>
      <c r="C18" s="7">
        <v>25</v>
      </c>
      <c r="D18" s="6">
        <v>57</v>
      </c>
      <c r="E18" s="6">
        <v>27</v>
      </c>
      <c r="F18" s="11">
        <v>0.038475000000000002</v>
      </c>
      <c r="G18" s="7">
        <v>25</v>
      </c>
      <c r="H18" s="6">
        <v>66</v>
      </c>
      <c r="I18" s="6">
        <v>23</v>
      </c>
      <c r="J18" s="12">
        <v>0.037949999999999998</v>
      </c>
      <c r="K18" s="7">
        <v>25</v>
      </c>
      <c r="L18" s="6">
        <v>51</v>
      </c>
      <c r="M18" s="6">
        <v>28</v>
      </c>
      <c r="N18" s="12">
        <v>0.035700000000000003</v>
      </c>
      <c r="O18" s="12">
        <v>0.112125</v>
      </c>
    </row>
    <row r="19" ht="16.5">
      <c r="A19" s="7"/>
      <c r="B19" s="7" t="s">
        <v>20</v>
      </c>
      <c r="C19" s="7">
        <v>3.8399999999999999</v>
      </c>
      <c r="D19" s="6">
        <v>57</v>
      </c>
      <c r="E19" s="6">
        <v>27</v>
      </c>
      <c r="F19" s="11">
        <v>0.00590976</v>
      </c>
      <c r="G19" s="7">
        <v>3.8399999999999999</v>
      </c>
      <c r="H19" s="6">
        <v>66</v>
      </c>
      <c r="I19" s="6">
        <v>23</v>
      </c>
      <c r="J19" s="12">
        <v>0.0058291200000000001</v>
      </c>
      <c r="K19" s="7">
        <v>3.8399999999999999</v>
      </c>
      <c r="L19" s="6">
        <v>51</v>
      </c>
      <c r="M19" s="6">
        <v>28</v>
      </c>
      <c r="N19" s="12">
        <v>0.0054835200000000004</v>
      </c>
      <c r="O19" s="12">
        <v>0.017222399999999999</v>
      </c>
    </row>
    <row r="20" ht="16.5">
      <c r="A20" s="7"/>
      <c r="B20" s="7" t="s">
        <v>21</v>
      </c>
      <c r="C20" s="7">
        <v>0.025000000000000001</v>
      </c>
      <c r="D20" s="6">
        <v>57</v>
      </c>
      <c r="E20" s="6">
        <v>27</v>
      </c>
      <c r="F20" s="14">
        <v>3.8475e-05</v>
      </c>
      <c r="G20" s="7">
        <v>0.025000000000000001</v>
      </c>
      <c r="H20" s="6">
        <v>66</v>
      </c>
      <c r="I20" s="6">
        <v>23</v>
      </c>
      <c r="J20" s="15">
        <v>3.7950000000000001e-05</v>
      </c>
      <c r="K20" s="7">
        <v>0.025000000000000001</v>
      </c>
      <c r="L20" s="6">
        <v>51</v>
      </c>
      <c r="M20" s="6">
        <v>28</v>
      </c>
      <c r="N20" s="15">
        <v>3.57e-05</v>
      </c>
      <c r="O20" s="16">
        <v>0.000113</v>
      </c>
    </row>
    <row r="21" ht="16.5">
      <c r="A21" s="7"/>
      <c r="B21" s="7" t="s">
        <v>22</v>
      </c>
      <c r="C21" s="7">
        <v>0.11</v>
      </c>
      <c r="D21" s="6">
        <v>57</v>
      </c>
      <c r="E21" s="6">
        <v>27</v>
      </c>
      <c r="F21" s="13">
        <v>0.00016929</v>
      </c>
      <c r="G21" s="7">
        <v>0.11</v>
      </c>
      <c r="H21" s="6">
        <v>66</v>
      </c>
      <c r="I21" s="6">
        <v>23</v>
      </c>
      <c r="J21" s="16">
        <v>0.00016698</v>
      </c>
      <c r="K21" s="7">
        <v>0.11</v>
      </c>
      <c r="L21" s="6">
        <v>51</v>
      </c>
      <c r="M21" s="6">
        <v>28</v>
      </c>
      <c r="N21" s="16">
        <v>0.00015708000000000001</v>
      </c>
      <c r="O21" s="16">
        <v>0.00049335000000000004</v>
      </c>
    </row>
    <row r="22" ht="16.5">
      <c r="A22" s="7"/>
      <c r="B22" s="7" t="s">
        <v>23</v>
      </c>
      <c r="C22" s="7">
        <v>0.224</v>
      </c>
      <c r="D22" s="6">
        <v>57</v>
      </c>
      <c r="E22" s="6">
        <v>27</v>
      </c>
      <c r="F22" s="13">
        <v>0.000344736</v>
      </c>
      <c r="G22" s="7">
        <v>0.224</v>
      </c>
      <c r="H22" s="6">
        <v>66</v>
      </c>
      <c r="I22" s="6">
        <v>23</v>
      </c>
      <c r="J22" s="16">
        <v>0.00034003199999999999</v>
      </c>
      <c r="K22" s="7">
        <v>0.224</v>
      </c>
      <c r="L22" s="6">
        <v>51</v>
      </c>
      <c r="M22" s="6">
        <v>28</v>
      </c>
      <c r="N22" s="16">
        <v>0.00031987200000000002</v>
      </c>
      <c r="O22" s="16">
        <v>0.00100464</v>
      </c>
    </row>
    <row r="23">
      <c r="A23" s="7"/>
      <c r="B23" s="7" t="s">
        <v>24</v>
      </c>
      <c r="C23" s="7">
        <v>28.899999999999999</v>
      </c>
      <c r="D23" s="6">
        <v>57</v>
      </c>
      <c r="E23" s="6">
        <v>27</v>
      </c>
      <c r="F23" s="11">
        <v>0.044477099999999999</v>
      </c>
      <c r="G23" s="7">
        <v>28.899999999999999</v>
      </c>
      <c r="H23" s="6">
        <v>66</v>
      </c>
      <c r="I23" s="6">
        <v>23</v>
      </c>
      <c r="J23" s="12">
        <v>0.043870199999999998</v>
      </c>
      <c r="K23" s="7">
        <v>28.899999999999999</v>
      </c>
      <c r="L23" s="6">
        <v>51</v>
      </c>
      <c r="M23" s="6">
        <v>28</v>
      </c>
      <c r="N23" s="12">
        <v>0.041269199999999999</v>
      </c>
      <c r="O23" s="12">
        <v>0.1296165</v>
      </c>
    </row>
    <row r="24" ht="16.5">
      <c r="A24" s="7"/>
      <c r="B24" s="7" t="s">
        <v>25</v>
      </c>
      <c r="C24" s="7">
        <v>24.600000000000001</v>
      </c>
      <c r="D24" s="6">
        <v>57</v>
      </c>
      <c r="E24" s="6">
        <v>27</v>
      </c>
      <c r="F24" s="11">
        <v>0.037859400000000001</v>
      </c>
      <c r="G24" s="7">
        <v>24.600000000000001</v>
      </c>
      <c r="H24" s="6">
        <v>66</v>
      </c>
      <c r="I24" s="6">
        <v>23</v>
      </c>
      <c r="J24" s="12">
        <v>0.037342800000000002</v>
      </c>
      <c r="K24" s="7">
        <v>24.600000000000001</v>
      </c>
      <c r="L24" s="6">
        <v>51</v>
      </c>
      <c r="M24" s="6">
        <v>28</v>
      </c>
      <c r="N24" s="12">
        <v>0.035128800000000002</v>
      </c>
      <c r="O24" s="12">
        <v>0.110331</v>
      </c>
    </row>
    <row r="25" ht="16.5">
      <c r="A25" s="7"/>
      <c r="B25" s="7" t="s">
        <v>26</v>
      </c>
      <c r="C25" s="7">
        <v>1.3500000000000001</v>
      </c>
      <c r="D25" s="6">
        <v>57</v>
      </c>
      <c r="E25" s="6">
        <v>27</v>
      </c>
      <c r="F25" s="17">
        <v>0.0020776499999999999</v>
      </c>
      <c r="G25" s="7">
        <v>1.3500000000000001</v>
      </c>
      <c r="H25" s="6">
        <v>66</v>
      </c>
      <c r="I25" s="6">
        <v>23</v>
      </c>
      <c r="J25" s="18">
        <v>0.0020493</v>
      </c>
      <c r="K25" s="7">
        <v>1.3500000000000001</v>
      </c>
      <c r="L25" s="6">
        <v>51</v>
      </c>
      <c r="M25" s="6">
        <v>28</v>
      </c>
      <c r="N25" s="18">
        <v>0.0019277999999999999</v>
      </c>
      <c r="O25" s="12">
        <v>0.0060000000000000001</v>
      </c>
    </row>
    <row r="26">
      <c r="A26" s="6"/>
      <c r="B26" s="6" t="s">
        <v>27</v>
      </c>
      <c r="C26" s="19">
        <v>7.7999999999999998</v>
      </c>
      <c r="D26" s="20"/>
      <c r="E26" s="20"/>
      <c r="F26" s="21"/>
      <c r="G26" s="19">
        <v>7.7999999999999998</v>
      </c>
      <c r="H26" s="20"/>
      <c r="I26" s="20"/>
      <c r="J26" s="21"/>
      <c r="K26" s="19">
        <v>7.7999999999999998</v>
      </c>
      <c r="L26" s="20"/>
      <c r="M26" s="20"/>
      <c r="N26" s="21"/>
      <c r="O26" s="22"/>
    </row>
  </sheetData>
  <mergeCells count="10">
    <mergeCell ref="A3:O3"/>
    <mergeCell ref="A12:A13"/>
    <mergeCell ref="B12:B13"/>
    <mergeCell ref="C12:F12"/>
    <mergeCell ref="G12:J12"/>
    <mergeCell ref="K12:N12"/>
    <mergeCell ref="O12:O13"/>
    <mergeCell ref="C26:F26"/>
    <mergeCell ref="G26:J26"/>
    <mergeCell ref="K26:N26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B20" activeCellId="0" sqref="B20"/>
    </sheetView>
  </sheetViews>
  <sheetFormatPr defaultColWidth="9" defaultRowHeight="15"/>
  <cols>
    <col customWidth="1" min="1" max="1" width="11.375"/>
    <col customWidth="1" min="6" max="6" width="8.875"/>
    <col customWidth="1" min="10" max="10" width="8.5"/>
    <col customWidth="1" min="13" max="13" width="7.625"/>
    <col customWidth="1" min="14" max="14" width="8.75"/>
    <col customWidth="1" min="15" max="15" width="7.5"/>
  </cols>
  <sheetData>
    <row r="1" ht="20.25">
      <c r="A1" s="3" t="s">
        <v>28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7" t="s">
        <v>6</v>
      </c>
      <c r="B2" s="7" t="s">
        <v>7</v>
      </c>
      <c r="C2" s="23" t="s">
        <v>8</v>
      </c>
      <c r="D2" s="23"/>
      <c r="E2" s="23"/>
      <c r="F2" s="23"/>
      <c r="G2" s="23" t="s">
        <v>9</v>
      </c>
      <c r="H2" s="23"/>
      <c r="I2" s="23"/>
      <c r="J2" s="23"/>
      <c r="K2" s="23" t="s">
        <v>10</v>
      </c>
      <c r="L2" s="23"/>
      <c r="M2" s="23"/>
      <c r="N2" s="23"/>
      <c r="O2" s="6" t="s">
        <v>11</v>
      </c>
    </row>
    <row r="3" ht="33">
      <c r="A3" s="7"/>
      <c r="B3" s="7"/>
      <c r="C3" s="7" t="s">
        <v>29</v>
      </c>
      <c r="D3" s="7" t="s">
        <v>30</v>
      </c>
      <c r="E3" s="7" t="s">
        <v>31</v>
      </c>
      <c r="F3" s="7" t="s">
        <v>13</v>
      </c>
      <c r="G3" s="7" t="s">
        <v>29</v>
      </c>
      <c r="H3" s="7" t="s">
        <v>30</v>
      </c>
      <c r="I3" s="7" t="s">
        <v>31</v>
      </c>
      <c r="J3" s="7" t="s">
        <v>13</v>
      </c>
      <c r="K3" s="7" t="s">
        <v>29</v>
      </c>
      <c r="L3" s="7" t="s">
        <v>30</v>
      </c>
      <c r="M3" s="7" t="s">
        <v>31</v>
      </c>
      <c r="N3" s="7" t="s">
        <v>13</v>
      </c>
      <c r="O3" s="24"/>
    </row>
    <row r="4" ht="16.5">
      <c r="A4" s="7" t="s">
        <v>32</v>
      </c>
      <c r="B4" s="7" t="s">
        <v>33</v>
      </c>
      <c r="C4" s="7">
        <v>3.2999999999999998</v>
      </c>
      <c r="D4" s="7">
        <v>7737</v>
      </c>
      <c r="E4" s="7">
        <v>363</v>
      </c>
      <c r="F4" s="18">
        <v>0.0092681523000000005</v>
      </c>
      <c r="G4" s="7">
        <v>3.2999999999999998</v>
      </c>
      <c r="H4" s="7">
        <v>7737</v>
      </c>
      <c r="I4" s="7">
        <v>308</v>
      </c>
      <c r="J4" s="18">
        <v>0.0078638868000000008</v>
      </c>
      <c r="K4" s="7">
        <v>3.2999999999999998</v>
      </c>
      <c r="L4" s="7">
        <v>7737</v>
      </c>
      <c r="M4" s="7">
        <v>375</v>
      </c>
      <c r="N4" s="18">
        <v>0.0095745375000000008</v>
      </c>
      <c r="O4" s="25"/>
    </row>
    <row r="5" ht="16.5">
      <c r="A5" s="7" t="s">
        <v>34</v>
      </c>
      <c r="B5" s="7" t="s">
        <v>33</v>
      </c>
      <c r="C5" s="7">
        <v>2.5</v>
      </c>
      <c r="D5" s="7">
        <v>5981</v>
      </c>
      <c r="E5" s="7">
        <v>540</v>
      </c>
      <c r="F5" s="18">
        <v>0.0080743499999999992</v>
      </c>
      <c r="G5" s="7">
        <v>2.5</v>
      </c>
      <c r="H5" s="7">
        <v>5981</v>
      </c>
      <c r="I5" s="7">
        <v>480</v>
      </c>
      <c r="J5" s="18">
        <v>0.0071771999999999999</v>
      </c>
      <c r="K5" s="7">
        <v>2.5</v>
      </c>
      <c r="L5" s="7">
        <v>5981</v>
      </c>
      <c r="M5" s="7">
        <v>560</v>
      </c>
      <c r="N5" s="18">
        <v>0.0083733999999999996</v>
      </c>
      <c r="O5" s="25"/>
    </row>
    <row r="6" ht="16.5">
      <c r="A6" s="7" t="s">
        <v>35</v>
      </c>
      <c r="B6" s="7" t="s">
        <v>33</v>
      </c>
      <c r="C6" s="7">
        <v>2.7999999999999998</v>
      </c>
      <c r="D6" s="7">
        <v>7955</v>
      </c>
      <c r="E6" s="7">
        <v>416</v>
      </c>
      <c r="F6" s="18">
        <v>0.0092659839999999997</v>
      </c>
      <c r="G6" s="7">
        <v>2.7999999999999998</v>
      </c>
      <c r="H6" s="7">
        <v>7955</v>
      </c>
      <c r="I6" s="7">
        <v>337</v>
      </c>
      <c r="J6" s="18">
        <v>0.0075063380000000004</v>
      </c>
      <c r="K6" s="7">
        <v>2.7999999999999998</v>
      </c>
      <c r="L6" s="7">
        <v>7955</v>
      </c>
      <c r="M6" s="7">
        <v>387</v>
      </c>
      <c r="N6" s="18">
        <v>0.008620038</v>
      </c>
      <c r="O6" s="25"/>
    </row>
    <row r="7" ht="16.5">
      <c r="A7" s="7" t="s">
        <v>36</v>
      </c>
      <c r="B7" s="7" t="s">
        <v>33</v>
      </c>
      <c r="C7" s="7">
        <v>3.2000000000000002</v>
      </c>
      <c r="D7" s="7">
        <v>7010</v>
      </c>
      <c r="E7" s="7">
        <v>556</v>
      </c>
      <c r="F7" s="18">
        <v>0.012472192</v>
      </c>
      <c r="G7" s="7">
        <v>3.2000000000000002</v>
      </c>
      <c r="H7" s="7">
        <v>7010</v>
      </c>
      <c r="I7" s="7">
        <v>500</v>
      </c>
      <c r="J7" s="18">
        <v>0.011216</v>
      </c>
      <c r="K7" s="7">
        <v>3.2000000000000002</v>
      </c>
      <c r="L7" s="7">
        <v>7010</v>
      </c>
      <c r="M7" s="7">
        <v>516</v>
      </c>
      <c r="N7" s="18">
        <v>0.011574912</v>
      </c>
      <c r="O7" s="25"/>
    </row>
    <row r="8" ht="16.5">
      <c r="A8" s="7" t="s">
        <v>37</v>
      </c>
      <c r="B8" s="7" t="s">
        <v>33</v>
      </c>
      <c r="C8" s="7">
        <v>3.5</v>
      </c>
      <c r="D8" s="7">
        <v>4444</v>
      </c>
      <c r="E8" s="7">
        <v>556</v>
      </c>
      <c r="F8" s="18">
        <v>0.0086480240000000007</v>
      </c>
      <c r="G8" s="7">
        <v>3.5</v>
      </c>
      <c r="H8" s="7">
        <v>4444</v>
      </c>
      <c r="I8" s="7">
        <v>500</v>
      </c>
      <c r="J8" s="18">
        <v>0.0077770000000000001</v>
      </c>
      <c r="K8" s="7">
        <v>3.5</v>
      </c>
      <c r="L8" s="7">
        <v>4444</v>
      </c>
      <c r="M8" s="7">
        <v>526</v>
      </c>
      <c r="N8" s="18">
        <v>0.0081814039999999998</v>
      </c>
      <c r="O8" s="25"/>
    </row>
    <row r="9" ht="16.5">
      <c r="A9" s="7" t="s">
        <v>38</v>
      </c>
      <c r="B9" s="7" t="s">
        <v>33</v>
      </c>
      <c r="C9" s="7">
        <v>3</v>
      </c>
      <c r="D9" s="7">
        <v>16686</v>
      </c>
      <c r="E9" s="7">
        <v>440</v>
      </c>
      <c r="F9" s="18">
        <v>0.02202552</v>
      </c>
      <c r="G9" s="7">
        <v>3</v>
      </c>
      <c r="H9" s="7">
        <v>16686</v>
      </c>
      <c r="I9" s="7">
        <v>384</v>
      </c>
      <c r="J9" s="18">
        <v>0.019222271999999999</v>
      </c>
      <c r="K9" s="7">
        <v>3</v>
      </c>
      <c r="L9" s="7">
        <v>16686</v>
      </c>
      <c r="M9" s="7">
        <v>448</v>
      </c>
      <c r="N9" s="18">
        <v>0.022425984</v>
      </c>
      <c r="O9" s="25"/>
    </row>
    <row r="10" ht="16" customHeight="1">
      <c r="A10" s="7" t="s">
        <v>39</v>
      </c>
      <c r="B10" s="7" t="s">
        <v>33</v>
      </c>
      <c r="C10" s="7">
        <v>2.6000000000000001</v>
      </c>
      <c r="D10" s="7">
        <v>14267</v>
      </c>
      <c r="E10" s="7">
        <v>224</v>
      </c>
      <c r="F10" s="18">
        <v>0.0083091008000000001</v>
      </c>
      <c r="G10" s="7">
        <v>2.6000000000000001</v>
      </c>
      <c r="H10" s="7">
        <v>14267</v>
      </c>
      <c r="I10" s="7">
        <v>192</v>
      </c>
      <c r="J10" s="18">
        <v>0.0071220863999999998</v>
      </c>
      <c r="K10" s="7">
        <v>2.6000000000000001</v>
      </c>
      <c r="L10" s="7">
        <v>14267</v>
      </c>
      <c r="M10" s="7">
        <v>224</v>
      </c>
      <c r="N10" s="18">
        <v>0.0083091008000000001</v>
      </c>
      <c r="O10" s="25"/>
    </row>
    <row r="11" ht="16.5">
      <c r="A11" s="7" t="s">
        <v>40</v>
      </c>
      <c r="B11" s="7" t="s">
        <v>33</v>
      </c>
      <c r="C11" s="7">
        <v>8.6999999999999993</v>
      </c>
      <c r="D11" s="7">
        <v>10661</v>
      </c>
      <c r="E11" s="7">
        <v>448</v>
      </c>
      <c r="F11" s="18">
        <v>0.041552313600000002</v>
      </c>
      <c r="G11" s="7">
        <v>8.6999999999999993</v>
      </c>
      <c r="H11" s="7">
        <v>10661</v>
      </c>
      <c r="I11" s="7">
        <v>384</v>
      </c>
      <c r="J11" s="18">
        <v>0.035616268800000003</v>
      </c>
      <c r="K11" s="7">
        <v>8.6999999999999993</v>
      </c>
      <c r="L11" s="7">
        <v>10661</v>
      </c>
      <c r="M11" s="7">
        <v>448</v>
      </c>
      <c r="N11" s="18">
        <v>0.041552313600000002</v>
      </c>
      <c r="O11" s="25"/>
    </row>
    <row r="12" ht="16.5">
      <c r="A12" s="7" t="s">
        <v>41</v>
      </c>
      <c r="B12" s="7" t="s">
        <v>33</v>
      </c>
      <c r="C12" s="7">
        <v>1.5</v>
      </c>
      <c r="D12" s="7">
        <v>15592</v>
      </c>
      <c r="E12" s="7">
        <v>224</v>
      </c>
      <c r="F12" s="18">
        <v>0.0052389120000000001</v>
      </c>
      <c r="G12" s="7">
        <v>1.5</v>
      </c>
      <c r="H12" s="7">
        <v>15592</v>
      </c>
      <c r="I12" s="7">
        <v>192</v>
      </c>
      <c r="J12" s="18">
        <v>0.0044904960000000001</v>
      </c>
      <c r="K12" s="7">
        <v>1.5</v>
      </c>
      <c r="L12" s="7">
        <v>15592</v>
      </c>
      <c r="M12" s="7">
        <v>224</v>
      </c>
      <c r="N12" s="18">
        <v>0.0052389120000000001</v>
      </c>
      <c r="O12" s="25"/>
    </row>
    <row r="13" ht="16.5">
      <c r="A13" s="7" t="s">
        <v>42</v>
      </c>
      <c r="B13" s="7" t="s">
        <v>33</v>
      </c>
      <c r="C13" s="7">
        <v>2.5</v>
      </c>
      <c r="D13" s="7">
        <v>15011</v>
      </c>
      <c r="E13" s="7">
        <v>189</v>
      </c>
      <c r="F13" s="18">
        <v>0.0070926975</v>
      </c>
      <c r="G13" s="7">
        <v>2.5</v>
      </c>
      <c r="H13" s="7">
        <v>15011</v>
      </c>
      <c r="I13" s="7">
        <v>216</v>
      </c>
      <c r="J13" s="18">
        <v>0.0081059400000000007</v>
      </c>
      <c r="K13" s="7">
        <v>2.5</v>
      </c>
      <c r="L13" s="7">
        <v>15011</v>
      </c>
      <c r="M13" s="7">
        <v>252</v>
      </c>
      <c r="N13" s="18">
        <v>0.0094569300000000005</v>
      </c>
      <c r="O13" s="25"/>
    </row>
    <row r="14" ht="16.5">
      <c r="A14" s="23" t="s">
        <v>43</v>
      </c>
      <c r="B14" s="7" t="s">
        <v>33</v>
      </c>
      <c r="C14" s="7">
        <v>2.7999999999999998</v>
      </c>
      <c r="D14" s="7">
        <v>735</v>
      </c>
      <c r="E14" s="7">
        <v>464</v>
      </c>
      <c r="F14" s="18">
        <v>0.00095491200000000004</v>
      </c>
      <c r="G14" s="7">
        <v>2.7999999999999998</v>
      </c>
      <c r="H14" s="7">
        <v>735</v>
      </c>
      <c r="I14" s="7">
        <v>384</v>
      </c>
      <c r="J14" s="18">
        <v>0.00079027199999999996</v>
      </c>
      <c r="K14" s="7">
        <v>2.7999999999999998</v>
      </c>
      <c r="L14" s="7">
        <v>735</v>
      </c>
      <c r="M14" s="7">
        <v>448</v>
      </c>
      <c r="N14" s="18">
        <v>0.00092198400000000004</v>
      </c>
      <c r="O14" s="25"/>
    </row>
    <row r="15" ht="16.5">
      <c r="A15" s="23" t="s">
        <v>44</v>
      </c>
      <c r="B15" s="7" t="s">
        <v>33</v>
      </c>
      <c r="C15" s="7">
        <v>2.6000000000000001</v>
      </c>
      <c r="D15" s="7">
        <v>1675</v>
      </c>
      <c r="E15" s="7">
        <v>464</v>
      </c>
      <c r="F15" s="18">
        <v>0.0020207200000000002</v>
      </c>
      <c r="G15" s="7">
        <v>2.6000000000000001</v>
      </c>
      <c r="H15" s="7">
        <v>1675</v>
      </c>
      <c r="I15" s="7">
        <v>384</v>
      </c>
      <c r="J15" s="18">
        <v>0.0016723199999999999</v>
      </c>
      <c r="K15" s="7">
        <v>2.6000000000000001</v>
      </c>
      <c r="L15" s="7">
        <v>1675</v>
      </c>
      <c r="M15" s="7">
        <v>192</v>
      </c>
      <c r="N15" s="18">
        <v>0.00083615999999999996</v>
      </c>
      <c r="O15" s="25"/>
    </row>
    <row r="16">
      <c r="A16" s="23" t="s">
        <v>45</v>
      </c>
      <c r="B16" s="23"/>
      <c r="C16" s="7"/>
      <c r="D16" s="7"/>
      <c r="E16" s="7"/>
      <c r="F16" s="18">
        <v>0.13492287820000001</v>
      </c>
      <c r="G16" s="7"/>
      <c r="H16" s="7"/>
      <c r="I16" s="7"/>
      <c r="J16" s="18">
        <v>0.11856008</v>
      </c>
      <c r="K16" s="7"/>
      <c r="L16" s="7"/>
      <c r="M16" s="7"/>
      <c r="N16" s="18">
        <v>0.13506567589999999</v>
      </c>
      <c r="O16" s="26">
        <v>0.3886</v>
      </c>
    </row>
    <row r="17" ht="16.5">
      <c r="A17" s="7" t="s">
        <v>37</v>
      </c>
      <c r="B17" s="23" t="s">
        <v>46</v>
      </c>
      <c r="C17" s="23">
        <v>26</v>
      </c>
      <c r="D17" s="7">
        <v>4444</v>
      </c>
      <c r="E17" s="23">
        <v>556</v>
      </c>
      <c r="F17" s="27">
        <v>0.064242463999999999</v>
      </c>
      <c r="G17" s="23">
        <v>26</v>
      </c>
      <c r="H17" s="7">
        <v>4444</v>
      </c>
      <c r="I17" s="23">
        <v>500</v>
      </c>
      <c r="J17" s="27">
        <v>0.057771999999999997</v>
      </c>
      <c r="K17" s="23">
        <v>26</v>
      </c>
      <c r="L17" s="7">
        <v>4444</v>
      </c>
      <c r="M17" s="23">
        <v>526</v>
      </c>
      <c r="N17" s="27">
        <v>0.060776143999999997</v>
      </c>
      <c r="O17" s="26"/>
    </row>
    <row r="18">
      <c r="A18" s="23" t="s">
        <v>43</v>
      </c>
      <c r="B18" s="23" t="s">
        <v>46</v>
      </c>
      <c r="C18" s="23">
        <v>28</v>
      </c>
      <c r="D18" s="7">
        <v>1107</v>
      </c>
      <c r="E18" s="7">
        <v>464</v>
      </c>
      <c r="F18" s="27">
        <v>0.014382143999999999</v>
      </c>
      <c r="G18" s="23">
        <v>49</v>
      </c>
      <c r="H18" s="7">
        <v>1134</v>
      </c>
      <c r="I18" s="7">
        <v>384</v>
      </c>
      <c r="J18" s="27">
        <v>0.021337344000000001</v>
      </c>
      <c r="K18" s="23">
        <v>58</v>
      </c>
      <c r="L18" s="7">
        <v>1093</v>
      </c>
      <c r="M18" s="7">
        <v>449</v>
      </c>
      <c r="N18" s="27">
        <v>0.028463906000000001</v>
      </c>
      <c r="O18" s="26"/>
    </row>
    <row r="19">
      <c r="A19" s="23" t="s">
        <v>44</v>
      </c>
      <c r="B19" s="23" t="s">
        <v>46</v>
      </c>
      <c r="C19" s="23">
        <v>48</v>
      </c>
      <c r="D19" s="7">
        <v>2080</v>
      </c>
      <c r="E19" s="7">
        <v>464</v>
      </c>
      <c r="F19" s="27">
        <v>0.046325760000000001</v>
      </c>
      <c r="G19" s="23">
        <v>61</v>
      </c>
      <c r="H19" s="7">
        <v>1024</v>
      </c>
      <c r="I19" s="7">
        <v>384</v>
      </c>
      <c r="J19" s="27">
        <v>0.023986176000000001</v>
      </c>
      <c r="K19" s="23">
        <v>63</v>
      </c>
      <c r="L19" s="7">
        <v>2152</v>
      </c>
      <c r="M19" s="7">
        <v>192</v>
      </c>
      <c r="N19" s="27">
        <v>0.026030592000000002</v>
      </c>
      <c r="O19" s="26"/>
    </row>
    <row r="20">
      <c r="A20" s="23" t="s">
        <v>47</v>
      </c>
      <c r="B20" s="23" t="s">
        <v>46</v>
      </c>
      <c r="C20" s="28"/>
      <c r="D20" s="28"/>
      <c r="E20" s="7"/>
      <c r="F20" s="27"/>
      <c r="G20" s="28"/>
      <c r="H20" s="28"/>
      <c r="I20" s="7"/>
      <c r="J20" s="27"/>
      <c r="K20" s="28"/>
      <c r="L20" s="28"/>
      <c r="M20" s="7"/>
      <c r="N20" s="27"/>
      <c r="O20" s="26"/>
    </row>
    <row r="21">
      <c r="A21" s="23" t="s">
        <v>48</v>
      </c>
      <c r="B21" s="23" t="s">
        <v>46</v>
      </c>
      <c r="C21" s="28">
        <v>26</v>
      </c>
      <c r="D21" s="28">
        <v>7911</v>
      </c>
      <c r="E21" s="23">
        <v>464</v>
      </c>
      <c r="F21" s="27">
        <v>0.095438304000000002</v>
      </c>
      <c r="G21" s="28">
        <v>26</v>
      </c>
      <c r="H21" s="28">
        <v>7911</v>
      </c>
      <c r="I21" s="23">
        <v>384</v>
      </c>
      <c r="J21" s="27">
        <v>0.078983423999999997</v>
      </c>
      <c r="K21" s="28">
        <v>26</v>
      </c>
      <c r="L21" s="28">
        <v>7911</v>
      </c>
      <c r="M21" s="23">
        <v>448</v>
      </c>
      <c r="N21" s="27">
        <v>0.092147328000000001</v>
      </c>
      <c r="O21" s="26"/>
    </row>
    <row r="22" ht="16.5">
      <c r="A22" s="7" t="s">
        <v>45</v>
      </c>
      <c r="B22" s="23"/>
      <c r="C22" s="23"/>
      <c r="D22" s="23"/>
      <c r="E22" s="7"/>
      <c r="F22" s="27">
        <v>0.22038867200000001</v>
      </c>
      <c r="G22" s="23"/>
      <c r="H22" s="23"/>
      <c r="I22" s="7"/>
      <c r="J22" s="27">
        <v>0.18207894399999999</v>
      </c>
      <c r="K22" s="23"/>
      <c r="L22" s="23"/>
      <c r="M22" s="7"/>
      <c r="N22" s="27">
        <v>0.20741797000000001</v>
      </c>
      <c r="O22" s="26">
        <v>0.60988558599999998</v>
      </c>
    </row>
    <row r="23" ht="16.5">
      <c r="A23" s="7" t="s">
        <v>37</v>
      </c>
      <c r="B23" s="23" t="s">
        <v>49</v>
      </c>
      <c r="C23" s="23">
        <v>1.5</v>
      </c>
      <c r="D23" s="7">
        <v>4444</v>
      </c>
      <c r="E23" s="23">
        <v>556</v>
      </c>
      <c r="F23" s="27">
        <v>0.003706296</v>
      </c>
      <c r="G23" s="23">
        <v>1.5</v>
      </c>
      <c r="H23" s="7">
        <v>4444</v>
      </c>
      <c r="I23" s="23">
        <v>500</v>
      </c>
      <c r="J23" s="27">
        <v>0.003333</v>
      </c>
      <c r="K23" s="23">
        <v>1.5</v>
      </c>
      <c r="L23" s="7">
        <v>4444</v>
      </c>
      <c r="M23" s="23">
        <v>526</v>
      </c>
      <c r="N23" s="27">
        <v>0.0035063160000000002</v>
      </c>
      <c r="O23" s="26"/>
    </row>
    <row r="24">
      <c r="A24" s="23" t="s">
        <v>43</v>
      </c>
      <c r="B24" s="23" t="s">
        <v>49</v>
      </c>
      <c r="C24" s="23">
        <v>1.5</v>
      </c>
      <c r="D24" s="7">
        <v>735</v>
      </c>
      <c r="E24" s="7">
        <v>464</v>
      </c>
      <c r="F24" s="27">
        <v>0.00051155999999999999</v>
      </c>
      <c r="G24" s="23">
        <v>1.5</v>
      </c>
      <c r="H24" s="7">
        <v>735</v>
      </c>
      <c r="I24" s="7">
        <v>384</v>
      </c>
      <c r="J24" s="27">
        <v>0.00042336000000000001</v>
      </c>
      <c r="K24" s="23">
        <v>1.5</v>
      </c>
      <c r="L24" s="7">
        <v>735</v>
      </c>
      <c r="M24" s="7">
        <v>449</v>
      </c>
      <c r="N24" s="27">
        <v>0.00049502249999999997</v>
      </c>
      <c r="O24" s="26"/>
    </row>
    <row r="25">
      <c r="A25" s="23" t="s">
        <v>44</v>
      </c>
      <c r="B25" s="23" t="s">
        <v>49</v>
      </c>
      <c r="C25" s="23">
        <v>4</v>
      </c>
      <c r="D25" s="7">
        <v>1675</v>
      </c>
      <c r="E25" s="7">
        <v>464</v>
      </c>
      <c r="F25" s="27">
        <v>0.0031088000000000001</v>
      </c>
      <c r="G25" s="23">
        <v>4</v>
      </c>
      <c r="H25" s="7">
        <v>1675</v>
      </c>
      <c r="I25" s="7">
        <v>384</v>
      </c>
      <c r="J25" s="27">
        <v>0.0025728000000000001</v>
      </c>
      <c r="K25" s="23">
        <v>4</v>
      </c>
      <c r="L25" s="7">
        <v>1675</v>
      </c>
      <c r="M25" s="7">
        <v>192</v>
      </c>
      <c r="N25" s="27">
        <v>0.0012864</v>
      </c>
      <c r="O25" s="26"/>
    </row>
    <row r="26">
      <c r="A26" s="23" t="s">
        <v>45</v>
      </c>
      <c r="B26" s="23"/>
      <c r="C26" s="23"/>
      <c r="D26" s="23"/>
      <c r="E26" s="7"/>
      <c r="F26" s="27">
        <v>0.007326656</v>
      </c>
      <c r="G26" s="23"/>
      <c r="H26" s="23"/>
      <c r="I26" s="7"/>
      <c r="J26" s="27">
        <v>0.0063291600000000003</v>
      </c>
      <c r="K26" s="23"/>
      <c r="L26" s="23"/>
      <c r="M26" s="7"/>
      <c r="N26" s="27">
        <v>0.0052877384999999999</v>
      </c>
      <c r="O26" s="26">
        <v>0.018943554500000001</v>
      </c>
    </row>
    <row r="27">
      <c r="A27" s="28" t="s">
        <v>50</v>
      </c>
      <c r="B27" s="28" t="s">
        <v>51</v>
      </c>
      <c r="C27" s="28">
        <v>2.9500000000000002</v>
      </c>
      <c r="D27" s="28">
        <v>4858</v>
      </c>
      <c r="E27" s="23">
        <v>224</v>
      </c>
      <c r="F27" s="27">
        <v>0.0032101664000000001</v>
      </c>
      <c r="G27" s="28">
        <v>2.9500000000000002</v>
      </c>
      <c r="H27" s="28">
        <v>4858</v>
      </c>
      <c r="I27" s="23">
        <v>184</v>
      </c>
      <c r="J27" s="27">
        <v>0.0026369224</v>
      </c>
      <c r="K27" s="28">
        <v>2.9500000000000002</v>
      </c>
      <c r="L27" s="28">
        <v>4858</v>
      </c>
      <c r="M27" s="23">
        <v>252</v>
      </c>
      <c r="N27" s="27">
        <v>0.0036114372</v>
      </c>
      <c r="O27" s="26"/>
    </row>
    <row r="28">
      <c r="A28" s="28" t="s">
        <v>37</v>
      </c>
      <c r="B28" s="28" t="s">
        <v>51</v>
      </c>
      <c r="C28" s="28">
        <v>43.799999999999997</v>
      </c>
      <c r="D28" s="7">
        <v>4444</v>
      </c>
      <c r="E28" s="28">
        <v>556</v>
      </c>
      <c r="F28" s="27">
        <v>0.1082238432</v>
      </c>
      <c r="G28" s="28">
        <v>43.799999999999997</v>
      </c>
      <c r="H28" s="7">
        <v>4444</v>
      </c>
      <c r="I28" s="28">
        <v>500</v>
      </c>
      <c r="J28" s="26">
        <v>0.097323599999999996</v>
      </c>
      <c r="K28" s="28">
        <v>43.799999999999997</v>
      </c>
      <c r="L28" s="7">
        <v>4444</v>
      </c>
      <c r="M28" s="28">
        <v>516</v>
      </c>
      <c r="N28" s="26">
        <v>0.1004379552</v>
      </c>
      <c r="O28" s="26"/>
    </row>
    <row r="29">
      <c r="A29" s="23" t="s">
        <v>45</v>
      </c>
      <c r="B29" s="28"/>
      <c r="C29" s="28"/>
      <c r="D29" s="28"/>
      <c r="E29" s="28"/>
      <c r="F29" s="26">
        <v>0.11143400959999999</v>
      </c>
      <c r="G29" s="28"/>
      <c r="H29" s="28"/>
      <c r="I29" s="28"/>
      <c r="J29" s="26">
        <v>0.099960522400000001</v>
      </c>
      <c r="K29" s="28"/>
      <c r="L29" s="28"/>
      <c r="M29" s="28"/>
      <c r="N29" s="26">
        <v>0.1040493924</v>
      </c>
      <c r="O29" s="26">
        <v>0.31544392440000002</v>
      </c>
    </row>
    <row r="30">
      <c r="A30" s="23" t="s">
        <v>47</v>
      </c>
      <c r="B30" s="23" t="s">
        <v>20</v>
      </c>
      <c r="C30" s="28">
        <v>3.8100000000000001</v>
      </c>
      <c r="D30" s="28">
        <v>1686</v>
      </c>
      <c r="E30" s="28">
        <v>464</v>
      </c>
      <c r="F30" s="26">
        <v>0.0029805782400000001</v>
      </c>
      <c r="G30" s="28">
        <v>3.8100000000000001</v>
      </c>
      <c r="H30" s="28">
        <v>1686</v>
      </c>
      <c r="I30" s="28">
        <v>384</v>
      </c>
      <c r="J30" s="26">
        <v>0.0024666854400000001</v>
      </c>
      <c r="K30" s="28">
        <v>3.8100000000000001</v>
      </c>
      <c r="L30" s="28">
        <v>1686</v>
      </c>
      <c r="M30" s="28">
        <v>448</v>
      </c>
      <c r="N30" s="26">
        <v>0.0028777996800000002</v>
      </c>
      <c r="O30" s="26"/>
    </row>
    <row r="31">
      <c r="A31" s="23" t="s">
        <v>48</v>
      </c>
      <c r="B31" s="23" t="s">
        <v>20</v>
      </c>
      <c r="C31" s="28">
        <v>3.21</v>
      </c>
      <c r="D31" s="28">
        <v>7911</v>
      </c>
      <c r="E31" s="28">
        <v>464</v>
      </c>
      <c r="F31" s="26">
        <v>0.011782959839999999</v>
      </c>
      <c r="G31" s="28">
        <v>3.21</v>
      </c>
      <c r="H31" s="28">
        <v>7911</v>
      </c>
      <c r="I31" s="28">
        <v>384</v>
      </c>
      <c r="J31" s="26">
        <v>0.0097514150399999992</v>
      </c>
      <c r="K31" s="28">
        <v>3.21</v>
      </c>
      <c r="L31" s="28">
        <v>7911</v>
      </c>
      <c r="M31" s="28">
        <v>448</v>
      </c>
      <c r="N31" s="26">
        <v>0.01137665088</v>
      </c>
      <c r="O31" s="26"/>
    </row>
    <row r="32">
      <c r="A32" s="23" t="s">
        <v>52</v>
      </c>
      <c r="B32" s="28"/>
      <c r="C32" s="28"/>
      <c r="D32" s="28"/>
      <c r="E32" s="28"/>
      <c r="F32" s="26">
        <v>0.014763538079999999</v>
      </c>
      <c r="G32" s="28"/>
      <c r="H32" s="28"/>
      <c r="I32" s="28"/>
      <c r="J32" s="26">
        <v>0.012218100480000001</v>
      </c>
      <c r="K32" s="28"/>
      <c r="L32" s="28"/>
      <c r="M32" s="28"/>
      <c r="N32" s="26">
        <v>0.01425445056</v>
      </c>
      <c r="O32" s="26">
        <v>0.041300000000000003</v>
      </c>
    </row>
    <row r="33">
      <c r="A33" s="23" t="s">
        <v>48</v>
      </c>
      <c r="B33" s="23" t="s">
        <v>53</v>
      </c>
      <c r="C33" s="28">
        <v>4.0999999999999996</v>
      </c>
      <c r="D33" s="28">
        <v>7911</v>
      </c>
      <c r="E33" s="28">
        <v>464</v>
      </c>
      <c r="F33" s="26">
        <v>0.0150498864</v>
      </c>
      <c r="G33" s="28">
        <v>4.0999999999999996</v>
      </c>
      <c r="H33" s="28">
        <v>7911</v>
      </c>
      <c r="I33" s="28">
        <v>384</v>
      </c>
      <c r="J33" s="26">
        <v>0.0124550784</v>
      </c>
      <c r="K33" s="28">
        <v>4.0999999999999996</v>
      </c>
      <c r="L33" s="28">
        <v>7911</v>
      </c>
      <c r="M33" s="28">
        <v>448</v>
      </c>
      <c r="N33" s="26">
        <v>0.014530924799999999</v>
      </c>
      <c r="O33" s="26"/>
    </row>
    <row r="34">
      <c r="A34" s="23" t="s">
        <v>45</v>
      </c>
      <c r="B34" s="23"/>
      <c r="C34" s="28"/>
      <c r="D34" s="28"/>
      <c r="E34" s="28"/>
      <c r="F34" s="26">
        <v>0.0150498864</v>
      </c>
      <c r="G34" s="28"/>
      <c r="H34" s="28"/>
      <c r="I34" s="28"/>
      <c r="J34" s="26">
        <v>0.0124550784</v>
      </c>
      <c r="K34" s="28"/>
      <c r="L34" s="28"/>
      <c r="M34" s="28"/>
      <c r="N34" s="26">
        <v>0.014530924799999999</v>
      </c>
      <c r="O34" s="26">
        <v>0.042035889600000001</v>
      </c>
      <c r="P34" s="29"/>
    </row>
  </sheetData>
  <mergeCells count="6">
    <mergeCell ref="A1:O1"/>
    <mergeCell ref="C2:F2"/>
    <mergeCell ref="G2:J2"/>
    <mergeCell ref="K2:N2"/>
    <mergeCell ref="A2:A3"/>
    <mergeCell ref="B2:B3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9" defaultRowHeight="15"/>
  <sheetData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created xsi:type="dcterms:W3CDTF">2021-08-12T13:42:00Z</dcterms:created>
  <dcterms:modified xsi:type="dcterms:W3CDTF">2026-01-25T05:58:19Z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1033-12.1.2.23578</vt:lpwstr>
  </property>
  <property fmtid="{D5CDD505-2E9C-101B-9397-08002B2CF9AE}" pid="3" name="ICV">
    <vt:lpwstr>ABFA383FE37E413BB80DDC4427B60B8F</vt:lpwstr>
  </property>
</Properties>
</file>