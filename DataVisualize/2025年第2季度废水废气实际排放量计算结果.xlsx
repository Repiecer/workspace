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废水" sheetId="1" r:id="rId1"/>
    <sheet name="废气" sheetId="3" r:id="rId2"/>
  </sheets>
  <calcPr calcId="144525"/>
</workbook>
</file>

<file path=xl/sharedStrings.xml><?xml version="1.0" encoding="utf-8"?>
<sst xmlns="http://schemas.openxmlformats.org/spreadsheetml/2006/main" count="141" uniqueCount="56">
  <si>
    <t>2025年第2季度废水实际排放量计算结果</t>
  </si>
  <si>
    <t>月份</t>
  </si>
  <si>
    <t>用水量m³</t>
  </si>
  <si>
    <t>排放量m³</t>
  </si>
  <si>
    <t>累计运行时间d</t>
  </si>
  <si>
    <t>流量m³/d</t>
  </si>
  <si>
    <t>排放口</t>
  </si>
  <si>
    <t>污染物名称</t>
  </si>
  <si>
    <t>4月</t>
  </si>
  <si>
    <t>5月</t>
  </si>
  <si>
    <t>6月</t>
  </si>
  <si>
    <t>合计</t>
  </si>
  <si>
    <t>浓度mg/L</t>
  </si>
  <si>
    <t>实际排放量t</t>
  </si>
  <si>
    <t>总排放口</t>
  </si>
  <si>
    <t>COD</t>
  </si>
  <si>
    <t>氨氮</t>
  </si>
  <si>
    <t>六价铬</t>
  </si>
  <si>
    <t>石油类</t>
  </si>
  <si>
    <t>悬浮物</t>
  </si>
  <si>
    <t>氟化物</t>
  </si>
  <si>
    <t>铅</t>
  </si>
  <si>
    <t>镍</t>
  </si>
  <si>
    <t>铬</t>
  </si>
  <si>
    <t>BOD5</t>
  </si>
  <si>
    <t>总氮</t>
  </si>
  <si>
    <t>总磷</t>
  </si>
  <si>
    <t>Ph</t>
  </si>
  <si>
    <t>废水排放量m³</t>
  </si>
  <si>
    <t>污染物排放量t</t>
  </si>
  <si>
    <t>2025年第2季度废气实际排放量计算结果</t>
  </si>
  <si>
    <t>浓度mg/m³</t>
  </si>
  <si>
    <t>排气量m³/h</t>
  </si>
  <si>
    <t>累计运行时间h</t>
  </si>
  <si>
    <t>背层</t>
  </si>
  <si>
    <t>颗粒物</t>
  </si>
  <si>
    <t>面层</t>
  </si>
  <si>
    <t>面层二层</t>
  </si>
  <si>
    <t>中频炉</t>
  </si>
  <si>
    <t>焙烧炉</t>
  </si>
  <si>
    <t>切割</t>
  </si>
  <si>
    <t>喷砂北</t>
  </si>
  <si>
    <t>喷砂南</t>
  </si>
  <si>
    <t>精磨</t>
  </si>
  <si>
    <t>抛光</t>
  </si>
  <si>
    <t>燃气锅炉</t>
  </si>
  <si>
    <t>真空热水锅炉</t>
  </si>
  <si>
    <t>总计</t>
  </si>
  <si>
    <t>NOX</t>
  </si>
  <si>
    <t>装配酸雾塔</t>
  </si>
  <si>
    <t>后整理酸雾塔</t>
  </si>
  <si>
    <t>SO2</t>
  </si>
  <si>
    <t>组树</t>
  </si>
  <si>
    <t>VOC</t>
  </si>
  <si>
    <t>小计</t>
  </si>
  <si>
    <t>氯化氢</t>
  </si>
</sst>
</file>

<file path=xl/styles.xml><?xml version="1.0" encoding="utf-8"?>
<styleSheet xmlns="http://schemas.openxmlformats.org/spreadsheetml/2006/main">
  <numFmts count="10">
    <numFmt numFmtId="176" formatCode="0.0000;[Red]0.0000"/>
    <numFmt numFmtId="177" formatCode="0.00000_ "/>
    <numFmt numFmtId="178" formatCode="0.0000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9" formatCode="0.00000;[Red]0.00000"/>
    <numFmt numFmtId="180" formatCode="0;[Red]0"/>
    <numFmt numFmtId="181" formatCode="0.000000_ "/>
  </numFmts>
  <fonts count="26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.5"/>
      <color theme="1"/>
      <name val="宋体"/>
      <charset val="134"/>
    </font>
    <font>
      <sz val="10"/>
      <color rgb="FF000000"/>
      <name val="宋体"/>
      <charset val="134"/>
    </font>
    <font>
      <sz val="10"/>
      <color theme="1"/>
      <name val="宋体"/>
      <charset val="134"/>
    </font>
    <font>
      <sz val="10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21" fillId="19" borderId="11" applyNumberFormat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justify" vertical="center"/>
    </xf>
    <xf numFmtId="0" fontId="4" fillId="0" borderId="1" xfId="0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179" fontId="6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80" fontId="0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 wrapText="1"/>
    </xf>
    <xf numFmtId="181" fontId="2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81" fontId="0" fillId="0" borderId="1" xfId="0" applyNumberFormat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>
      <alignment vertical="center"/>
    </xf>
    <xf numFmtId="181" fontId="0" fillId="0" borderId="1" xfId="0" applyNumberForma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4"/>
  <sheetViews>
    <sheetView tabSelected="1" workbookViewId="0">
      <selection activeCell="I13" sqref="I13"/>
    </sheetView>
  </sheetViews>
  <sheetFormatPr defaultColWidth="9" defaultRowHeight="13.5"/>
  <cols>
    <col min="1" max="1" width="7.25" customWidth="1"/>
    <col min="2" max="2" width="9.375" customWidth="1"/>
    <col min="3" max="3" width="7.75" customWidth="1"/>
    <col min="4" max="4" width="7.25" customWidth="1"/>
    <col min="5" max="5" width="9.5" customWidth="1"/>
    <col min="6" max="6" width="9.375" customWidth="1"/>
    <col min="8" max="8" width="11.875" customWidth="1"/>
    <col min="10" max="10" width="9.25"/>
    <col min="11" max="11" width="11.5" customWidth="1"/>
    <col min="14" max="14" width="11.625" customWidth="1"/>
    <col min="15" max="15" width="10.125"/>
  </cols>
  <sheetData>
    <row r="1" customHeight="1"/>
    <row r="3" ht="20.25" spans="1:1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5" ht="24" spans="1:8">
      <c r="A5" s="20" t="s">
        <v>1</v>
      </c>
      <c r="B5" s="20" t="s">
        <v>2</v>
      </c>
      <c r="C5" s="20" t="s">
        <v>3</v>
      </c>
      <c r="D5" s="2" t="s">
        <v>4</v>
      </c>
      <c r="E5" s="2" t="s">
        <v>5</v>
      </c>
      <c r="F5" s="21"/>
      <c r="G5" s="21"/>
      <c r="H5" s="21"/>
    </row>
    <row r="6" spans="1:8">
      <c r="A6" s="22">
        <v>4</v>
      </c>
      <c r="B6" s="23">
        <v>4842</v>
      </c>
      <c r="C6" s="22">
        <v>1684</v>
      </c>
      <c r="D6" s="22">
        <v>28</v>
      </c>
      <c r="E6" s="24">
        <f>C6/D6</f>
        <v>60.1428571428571</v>
      </c>
      <c r="F6" s="21"/>
      <c r="G6" s="21"/>
      <c r="H6" s="21"/>
    </row>
    <row r="7" spans="1:8">
      <c r="A7" s="22">
        <v>5</v>
      </c>
      <c r="B7" s="23">
        <v>4031</v>
      </c>
      <c r="C7" s="22">
        <v>1402</v>
      </c>
      <c r="D7" s="22">
        <v>27</v>
      </c>
      <c r="E7" s="24">
        <f>C7/D7</f>
        <v>51.9259259259259</v>
      </c>
      <c r="F7" s="21"/>
      <c r="G7" s="21"/>
      <c r="H7" s="21"/>
    </row>
    <row r="8" spans="1:8">
      <c r="A8" s="22">
        <v>6</v>
      </c>
      <c r="B8" s="23">
        <v>3631</v>
      </c>
      <c r="C8" s="22">
        <v>1263</v>
      </c>
      <c r="D8" s="22">
        <v>28</v>
      </c>
      <c r="E8" s="24">
        <f>C8/D8</f>
        <v>45.1071428571429</v>
      </c>
      <c r="F8" s="21"/>
      <c r="G8" s="21"/>
      <c r="H8" s="21"/>
    </row>
    <row r="12" spans="1:15">
      <c r="A12" s="2" t="s">
        <v>6</v>
      </c>
      <c r="B12" s="2" t="s">
        <v>7</v>
      </c>
      <c r="C12" s="2" t="s">
        <v>8</v>
      </c>
      <c r="D12" s="2"/>
      <c r="E12" s="2"/>
      <c r="F12" s="2"/>
      <c r="G12" s="2" t="s">
        <v>9</v>
      </c>
      <c r="H12" s="2"/>
      <c r="I12" s="2"/>
      <c r="J12" s="2"/>
      <c r="K12" s="2" t="s">
        <v>10</v>
      </c>
      <c r="L12" s="2"/>
      <c r="M12" s="2"/>
      <c r="N12" s="2"/>
      <c r="O12" s="2" t="s">
        <v>11</v>
      </c>
    </row>
    <row r="13" ht="24" spans="1:15">
      <c r="A13" s="2"/>
      <c r="B13" s="2"/>
      <c r="C13" s="2" t="s">
        <v>12</v>
      </c>
      <c r="D13" s="2" t="s">
        <v>5</v>
      </c>
      <c r="E13" s="2" t="s">
        <v>4</v>
      </c>
      <c r="F13" s="2" t="s">
        <v>13</v>
      </c>
      <c r="G13" s="2" t="s">
        <v>12</v>
      </c>
      <c r="H13" s="2" t="s">
        <v>5</v>
      </c>
      <c r="I13" s="2" t="s">
        <v>4</v>
      </c>
      <c r="J13" s="2" t="s">
        <v>13</v>
      </c>
      <c r="K13" s="2" t="s">
        <v>12</v>
      </c>
      <c r="L13" s="2" t="s">
        <v>5</v>
      </c>
      <c r="M13" s="2" t="s">
        <v>4</v>
      </c>
      <c r="N13" s="2" t="s">
        <v>13</v>
      </c>
      <c r="O13" s="2"/>
    </row>
    <row r="14" spans="1:15">
      <c r="A14" s="2" t="s">
        <v>14</v>
      </c>
      <c r="B14" s="2" t="s">
        <v>15</v>
      </c>
      <c r="C14" s="2">
        <v>40</v>
      </c>
      <c r="D14" s="22">
        <v>60</v>
      </c>
      <c r="E14" s="22">
        <v>28</v>
      </c>
      <c r="F14" s="6">
        <f>C14*D14*E14/1000000</f>
        <v>0.0672</v>
      </c>
      <c r="G14" s="2">
        <v>40</v>
      </c>
      <c r="H14" s="22">
        <v>52</v>
      </c>
      <c r="I14" s="22">
        <v>27</v>
      </c>
      <c r="J14" s="6">
        <f>G14*H14*I14/1000000</f>
        <v>0.05616</v>
      </c>
      <c r="K14" s="2">
        <v>40</v>
      </c>
      <c r="L14" s="22">
        <v>45</v>
      </c>
      <c r="M14" s="22">
        <v>28</v>
      </c>
      <c r="N14" s="6">
        <f>K14*L14*M14/1000000</f>
        <v>0.0504</v>
      </c>
      <c r="O14" s="6">
        <f>F14+J14+N14</f>
        <v>0.17376</v>
      </c>
    </row>
    <row r="15" spans="1:15">
      <c r="A15" s="2"/>
      <c r="B15" s="2" t="s">
        <v>16</v>
      </c>
      <c r="C15" s="2">
        <v>1.69</v>
      </c>
      <c r="D15" s="22">
        <v>60</v>
      </c>
      <c r="E15" s="22">
        <v>28</v>
      </c>
      <c r="F15" s="6">
        <f t="shared" ref="F15:F25" si="0">C15*D15*E15/1000000</f>
        <v>0.0028392</v>
      </c>
      <c r="G15" s="2">
        <v>1.69</v>
      </c>
      <c r="H15" s="22">
        <v>52</v>
      </c>
      <c r="I15" s="22">
        <v>27</v>
      </c>
      <c r="J15" s="6">
        <f t="shared" ref="J15:J25" si="1">G15*H15*I15/1000000</f>
        <v>0.00237276</v>
      </c>
      <c r="K15" s="2">
        <v>1.69</v>
      </c>
      <c r="L15" s="22">
        <v>45</v>
      </c>
      <c r="M15" s="22">
        <v>28</v>
      </c>
      <c r="N15" s="6">
        <f t="shared" ref="N15:N25" si="2">K15*L15*M15/1000000</f>
        <v>0.0021294</v>
      </c>
      <c r="O15" s="6">
        <f t="shared" ref="O15:O25" si="3">F15+J15+N15</f>
        <v>0.00734136</v>
      </c>
    </row>
    <row r="16" spans="1:15">
      <c r="A16" s="2"/>
      <c r="B16" s="2" t="s">
        <v>17</v>
      </c>
      <c r="C16" s="2">
        <v>0.008</v>
      </c>
      <c r="D16" s="22">
        <v>60</v>
      </c>
      <c r="E16" s="22">
        <v>28</v>
      </c>
      <c r="F16" s="25">
        <f t="shared" si="0"/>
        <v>1.344e-5</v>
      </c>
      <c r="G16" s="2">
        <v>0.008</v>
      </c>
      <c r="H16" s="22">
        <v>52</v>
      </c>
      <c r="I16" s="22">
        <v>27</v>
      </c>
      <c r="J16" s="25">
        <f t="shared" si="1"/>
        <v>1.1232e-5</v>
      </c>
      <c r="K16" s="2">
        <v>0.008</v>
      </c>
      <c r="L16" s="22">
        <v>45</v>
      </c>
      <c r="M16" s="22">
        <v>28</v>
      </c>
      <c r="N16" s="25">
        <f t="shared" si="2"/>
        <v>1.008e-5</v>
      </c>
      <c r="O16" s="6">
        <f t="shared" si="3"/>
        <v>3.4752e-5</v>
      </c>
    </row>
    <row r="17" spans="1:15">
      <c r="A17" s="2"/>
      <c r="B17" s="2" t="s">
        <v>18</v>
      </c>
      <c r="C17" s="2">
        <v>0.26</v>
      </c>
      <c r="D17" s="22">
        <v>60</v>
      </c>
      <c r="E17" s="22">
        <v>28</v>
      </c>
      <c r="F17" s="25">
        <f t="shared" si="0"/>
        <v>0.0004368</v>
      </c>
      <c r="G17" s="2">
        <v>0.26</v>
      </c>
      <c r="H17" s="22">
        <v>52</v>
      </c>
      <c r="I17" s="22">
        <v>27</v>
      </c>
      <c r="J17" s="25">
        <f t="shared" si="1"/>
        <v>0.00036504</v>
      </c>
      <c r="K17" s="2">
        <v>0.26</v>
      </c>
      <c r="L17" s="22">
        <v>45</v>
      </c>
      <c r="M17" s="22">
        <v>28</v>
      </c>
      <c r="N17" s="25">
        <f t="shared" si="2"/>
        <v>0.0003276</v>
      </c>
      <c r="O17" s="6">
        <f t="shared" si="3"/>
        <v>0.00112944</v>
      </c>
    </row>
    <row r="18" spans="1:15">
      <c r="A18" s="2"/>
      <c r="B18" s="2" t="s">
        <v>19</v>
      </c>
      <c r="C18" s="2">
        <v>6</v>
      </c>
      <c r="D18" s="22">
        <v>60</v>
      </c>
      <c r="E18" s="22">
        <v>28</v>
      </c>
      <c r="F18" s="6">
        <f t="shared" si="0"/>
        <v>0.01008</v>
      </c>
      <c r="G18" s="2">
        <v>6</v>
      </c>
      <c r="H18" s="22">
        <v>52</v>
      </c>
      <c r="I18" s="22">
        <v>27</v>
      </c>
      <c r="J18" s="6">
        <f t="shared" si="1"/>
        <v>0.008424</v>
      </c>
      <c r="K18" s="2">
        <v>6</v>
      </c>
      <c r="L18" s="22">
        <v>45</v>
      </c>
      <c r="M18" s="22">
        <v>28</v>
      </c>
      <c r="N18" s="6">
        <f t="shared" si="2"/>
        <v>0.00756</v>
      </c>
      <c r="O18" s="6">
        <f t="shared" si="3"/>
        <v>0.026064</v>
      </c>
    </row>
    <row r="19" spans="1:15">
      <c r="A19" s="2"/>
      <c r="B19" s="2" t="s">
        <v>20</v>
      </c>
      <c r="C19" s="2">
        <v>2.55</v>
      </c>
      <c r="D19" s="22">
        <v>60</v>
      </c>
      <c r="E19" s="22">
        <v>28</v>
      </c>
      <c r="F19" s="6">
        <f t="shared" si="0"/>
        <v>0.004284</v>
      </c>
      <c r="G19" s="2">
        <v>2.55</v>
      </c>
      <c r="H19" s="22">
        <v>52</v>
      </c>
      <c r="I19" s="22">
        <v>27</v>
      </c>
      <c r="J19" s="6">
        <f t="shared" si="1"/>
        <v>0.0035802</v>
      </c>
      <c r="K19" s="2">
        <v>2.55</v>
      </c>
      <c r="L19" s="22">
        <v>45</v>
      </c>
      <c r="M19" s="22">
        <v>28</v>
      </c>
      <c r="N19" s="6">
        <f t="shared" si="2"/>
        <v>0.003213</v>
      </c>
      <c r="O19" s="6">
        <f t="shared" si="3"/>
        <v>0.0110772</v>
      </c>
    </row>
    <row r="20" spans="1:15">
      <c r="A20" s="2"/>
      <c r="B20" s="2" t="s">
        <v>21</v>
      </c>
      <c r="C20" s="2">
        <v>0.1</v>
      </c>
      <c r="D20" s="22">
        <v>60</v>
      </c>
      <c r="E20" s="22">
        <v>28</v>
      </c>
      <c r="F20" s="26">
        <f t="shared" si="0"/>
        <v>0.000168</v>
      </c>
      <c r="G20" s="2">
        <v>0.1</v>
      </c>
      <c r="H20" s="22">
        <v>52</v>
      </c>
      <c r="I20" s="22">
        <v>27</v>
      </c>
      <c r="J20" s="26">
        <f t="shared" si="1"/>
        <v>0.0001404</v>
      </c>
      <c r="K20" s="2">
        <v>0.1</v>
      </c>
      <c r="L20" s="22">
        <v>45</v>
      </c>
      <c r="M20" s="22">
        <v>28</v>
      </c>
      <c r="N20" s="26">
        <f t="shared" si="2"/>
        <v>0.000126</v>
      </c>
      <c r="O20" s="6">
        <f t="shared" si="3"/>
        <v>0.0004344</v>
      </c>
    </row>
    <row r="21" spans="1:15">
      <c r="A21" s="2"/>
      <c r="B21" s="2" t="s">
        <v>22</v>
      </c>
      <c r="C21" s="2">
        <v>0.53</v>
      </c>
      <c r="D21" s="22">
        <v>60</v>
      </c>
      <c r="E21" s="22">
        <v>28</v>
      </c>
      <c r="F21" s="26">
        <f t="shared" si="0"/>
        <v>0.0008904</v>
      </c>
      <c r="G21" s="2">
        <v>0.53</v>
      </c>
      <c r="H21" s="22">
        <v>52</v>
      </c>
      <c r="I21" s="22">
        <v>27</v>
      </c>
      <c r="J21" s="26">
        <f t="shared" si="1"/>
        <v>0.00074412</v>
      </c>
      <c r="K21" s="2">
        <v>0.53</v>
      </c>
      <c r="L21" s="22">
        <v>45</v>
      </c>
      <c r="M21" s="22">
        <v>28</v>
      </c>
      <c r="N21" s="26">
        <f t="shared" si="2"/>
        <v>0.0006678</v>
      </c>
      <c r="O21" s="6">
        <f t="shared" si="3"/>
        <v>0.00230232</v>
      </c>
    </row>
    <row r="22" spans="1:15">
      <c r="A22" s="2"/>
      <c r="B22" s="2" t="s">
        <v>23</v>
      </c>
      <c r="C22" s="2">
        <v>0.022</v>
      </c>
      <c r="D22" s="22">
        <v>60</v>
      </c>
      <c r="E22" s="22">
        <v>28</v>
      </c>
      <c r="F22" s="26">
        <f t="shared" si="0"/>
        <v>3.696e-5</v>
      </c>
      <c r="G22" s="2">
        <v>0.022</v>
      </c>
      <c r="H22" s="22">
        <v>52</v>
      </c>
      <c r="I22" s="22">
        <v>27</v>
      </c>
      <c r="J22" s="26">
        <f t="shared" si="1"/>
        <v>3.0888e-5</v>
      </c>
      <c r="K22" s="2">
        <v>0.022</v>
      </c>
      <c r="L22" s="22">
        <v>45</v>
      </c>
      <c r="M22" s="22">
        <v>28</v>
      </c>
      <c r="N22" s="26">
        <f t="shared" si="2"/>
        <v>2.772e-5</v>
      </c>
      <c r="O22" s="6">
        <f t="shared" si="3"/>
        <v>9.5568e-5</v>
      </c>
    </row>
    <row r="23" spans="1:15">
      <c r="A23" s="2"/>
      <c r="B23" s="2" t="s">
        <v>24</v>
      </c>
      <c r="C23" s="2">
        <v>10.3</v>
      </c>
      <c r="D23" s="22">
        <v>60</v>
      </c>
      <c r="E23" s="22">
        <v>28</v>
      </c>
      <c r="F23" s="6">
        <f t="shared" si="0"/>
        <v>0.017304</v>
      </c>
      <c r="G23" s="2">
        <v>10.3</v>
      </c>
      <c r="H23" s="22">
        <v>52</v>
      </c>
      <c r="I23" s="22">
        <v>27</v>
      </c>
      <c r="J23" s="6">
        <f t="shared" si="1"/>
        <v>0.0144612</v>
      </c>
      <c r="K23" s="2">
        <v>10.3</v>
      </c>
      <c r="L23" s="22">
        <v>45</v>
      </c>
      <c r="M23" s="22">
        <v>28</v>
      </c>
      <c r="N23" s="6">
        <f t="shared" si="2"/>
        <v>0.012978</v>
      </c>
      <c r="O23" s="6">
        <f t="shared" si="3"/>
        <v>0.0447432</v>
      </c>
    </row>
    <row r="24" spans="1:15">
      <c r="A24" s="2"/>
      <c r="B24" s="2" t="s">
        <v>25</v>
      </c>
      <c r="C24" s="2">
        <v>62</v>
      </c>
      <c r="D24" s="22">
        <v>60</v>
      </c>
      <c r="E24" s="22">
        <v>28</v>
      </c>
      <c r="F24" s="6">
        <f t="shared" si="0"/>
        <v>0.10416</v>
      </c>
      <c r="G24" s="2">
        <v>62</v>
      </c>
      <c r="H24" s="22">
        <v>52</v>
      </c>
      <c r="I24" s="22">
        <v>27</v>
      </c>
      <c r="J24" s="6">
        <f t="shared" si="1"/>
        <v>0.087048</v>
      </c>
      <c r="K24" s="2">
        <v>62</v>
      </c>
      <c r="L24" s="22">
        <v>45</v>
      </c>
      <c r="M24" s="22">
        <v>28</v>
      </c>
      <c r="N24" s="6">
        <f t="shared" si="2"/>
        <v>0.07812</v>
      </c>
      <c r="O24" s="6">
        <f t="shared" si="3"/>
        <v>0.269328</v>
      </c>
    </row>
    <row r="25" spans="1:15">
      <c r="A25" s="2"/>
      <c r="B25" s="2" t="s">
        <v>26</v>
      </c>
      <c r="C25" s="2">
        <v>0.03</v>
      </c>
      <c r="D25" s="22">
        <v>60</v>
      </c>
      <c r="E25" s="22">
        <v>28</v>
      </c>
      <c r="F25" s="6">
        <f t="shared" si="0"/>
        <v>5.04e-5</v>
      </c>
      <c r="G25" s="2">
        <v>0.03</v>
      </c>
      <c r="H25" s="22">
        <v>52</v>
      </c>
      <c r="I25" s="22">
        <v>27</v>
      </c>
      <c r="J25" s="6">
        <f t="shared" si="1"/>
        <v>4.212e-5</v>
      </c>
      <c r="K25" s="2">
        <v>0.03</v>
      </c>
      <c r="L25" s="22">
        <v>45</v>
      </c>
      <c r="M25" s="22">
        <v>28</v>
      </c>
      <c r="N25" s="6">
        <f t="shared" si="2"/>
        <v>3.78e-5</v>
      </c>
      <c r="O25" s="6">
        <f t="shared" si="3"/>
        <v>0.00013032</v>
      </c>
    </row>
    <row r="26" spans="1:15">
      <c r="A26" s="20"/>
      <c r="B26" s="20" t="s">
        <v>27</v>
      </c>
      <c r="C26" s="27">
        <v>7.3</v>
      </c>
      <c r="D26" s="28"/>
      <c r="E26" s="28"/>
      <c r="F26" s="29"/>
      <c r="G26" s="27">
        <v>7.3</v>
      </c>
      <c r="H26" s="28"/>
      <c r="I26" s="28"/>
      <c r="J26" s="29"/>
      <c r="K26" s="27">
        <v>7.3</v>
      </c>
      <c r="L26" s="28"/>
      <c r="M26" s="28"/>
      <c r="N26" s="29"/>
      <c r="O26" s="20"/>
    </row>
    <row r="30" spans="4:14">
      <c r="D30" s="2" t="s">
        <v>6</v>
      </c>
      <c r="E30" s="2" t="s">
        <v>7</v>
      </c>
      <c r="F30" s="30" t="s">
        <v>8</v>
      </c>
      <c r="G30" s="30"/>
      <c r="H30" s="30"/>
      <c r="I30" s="30" t="s">
        <v>9</v>
      </c>
      <c r="J30" s="30"/>
      <c r="K30" s="30"/>
      <c r="L30" s="30" t="s">
        <v>10</v>
      </c>
      <c r="M30" s="30"/>
      <c r="N30" s="30"/>
    </row>
    <row r="31" ht="27" spans="4:14">
      <c r="D31" s="2"/>
      <c r="E31" s="2"/>
      <c r="F31" s="31" t="s">
        <v>12</v>
      </c>
      <c r="G31" s="31" t="s">
        <v>28</v>
      </c>
      <c r="H31" s="31" t="s">
        <v>29</v>
      </c>
      <c r="I31" s="31" t="s">
        <v>12</v>
      </c>
      <c r="J31" s="31" t="s">
        <v>28</v>
      </c>
      <c r="K31" s="31" t="s">
        <v>29</v>
      </c>
      <c r="L31" s="31" t="s">
        <v>12</v>
      </c>
      <c r="M31" s="31" t="s">
        <v>28</v>
      </c>
      <c r="N31" s="31" t="s">
        <v>29</v>
      </c>
    </row>
    <row r="32" spans="4:14">
      <c r="D32" s="2" t="s">
        <v>14</v>
      </c>
      <c r="E32" s="2" t="s">
        <v>15</v>
      </c>
      <c r="F32" s="2">
        <v>40</v>
      </c>
      <c r="G32" s="31">
        <v>1684</v>
      </c>
      <c r="H32" s="32">
        <f t="shared" ref="H32:H43" si="4">G32*F32/1000000</f>
        <v>0.06736</v>
      </c>
      <c r="I32" s="2">
        <v>40</v>
      </c>
      <c r="J32" s="36">
        <v>1402</v>
      </c>
      <c r="K32" s="37">
        <f t="shared" ref="K32:K43" si="5">J32*I32/1000000</f>
        <v>0.05608</v>
      </c>
      <c r="L32" s="2">
        <v>40</v>
      </c>
      <c r="M32" s="36">
        <v>1263</v>
      </c>
      <c r="N32" s="37">
        <f t="shared" ref="N32:N43" si="6">M32*L32/1000000</f>
        <v>0.05052</v>
      </c>
    </row>
    <row r="33" spans="4:14">
      <c r="D33" s="2"/>
      <c r="E33" s="2" t="s">
        <v>16</v>
      </c>
      <c r="F33" s="2">
        <v>1.69</v>
      </c>
      <c r="G33" s="31">
        <v>1684</v>
      </c>
      <c r="H33" s="32">
        <f t="shared" si="4"/>
        <v>0.00284596</v>
      </c>
      <c r="I33" s="2">
        <v>1.69</v>
      </c>
      <c r="J33" s="36">
        <v>1402</v>
      </c>
      <c r="K33" s="37">
        <f t="shared" si="5"/>
        <v>0.00236938</v>
      </c>
      <c r="L33" s="2">
        <v>1.69</v>
      </c>
      <c r="M33" s="36">
        <v>1263</v>
      </c>
      <c r="N33" s="37">
        <f t="shared" si="6"/>
        <v>0.00213447</v>
      </c>
    </row>
    <row r="34" spans="4:14">
      <c r="D34" s="2"/>
      <c r="E34" s="2" t="s">
        <v>17</v>
      </c>
      <c r="F34" s="2">
        <v>0.008</v>
      </c>
      <c r="G34" s="31">
        <v>1684</v>
      </c>
      <c r="H34" s="32">
        <f t="shared" si="4"/>
        <v>1.3472e-5</v>
      </c>
      <c r="I34" s="2">
        <v>0.008</v>
      </c>
      <c r="J34" s="36">
        <v>1402</v>
      </c>
      <c r="K34" s="37">
        <f t="shared" si="5"/>
        <v>1.1216e-5</v>
      </c>
      <c r="L34" s="2">
        <v>0.008</v>
      </c>
      <c r="M34" s="36">
        <v>1263</v>
      </c>
      <c r="N34" s="37">
        <f t="shared" si="6"/>
        <v>1.0104e-5</v>
      </c>
    </row>
    <row r="35" spans="4:14">
      <c r="D35" s="2"/>
      <c r="E35" s="2" t="s">
        <v>18</v>
      </c>
      <c r="F35" s="2">
        <v>0.26</v>
      </c>
      <c r="G35" s="31">
        <v>1684</v>
      </c>
      <c r="H35" s="32">
        <f t="shared" si="4"/>
        <v>0.00043784</v>
      </c>
      <c r="I35" s="2">
        <v>0.26</v>
      </c>
      <c r="J35" s="36">
        <v>1402</v>
      </c>
      <c r="K35" s="37">
        <f t="shared" si="5"/>
        <v>0.00036452</v>
      </c>
      <c r="L35" s="2">
        <v>0.26</v>
      </c>
      <c r="M35" s="36">
        <v>1263</v>
      </c>
      <c r="N35" s="37">
        <f t="shared" si="6"/>
        <v>0.00032838</v>
      </c>
    </row>
    <row r="36" spans="4:14">
      <c r="D36" s="2"/>
      <c r="E36" s="2" t="s">
        <v>19</v>
      </c>
      <c r="F36" s="2">
        <v>6</v>
      </c>
      <c r="G36" s="31">
        <v>1684</v>
      </c>
      <c r="H36" s="32">
        <f t="shared" si="4"/>
        <v>0.010104</v>
      </c>
      <c r="I36" s="2">
        <v>6</v>
      </c>
      <c r="J36" s="36">
        <v>1402</v>
      </c>
      <c r="K36" s="37">
        <f t="shared" si="5"/>
        <v>0.008412</v>
      </c>
      <c r="L36" s="2">
        <v>6</v>
      </c>
      <c r="M36" s="36">
        <v>1263</v>
      </c>
      <c r="N36" s="37">
        <f t="shared" si="6"/>
        <v>0.007578</v>
      </c>
    </row>
    <row r="37" spans="4:14">
      <c r="D37" s="2"/>
      <c r="E37" s="2" t="s">
        <v>20</v>
      </c>
      <c r="F37" s="2">
        <v>2.55</v>
      </c>
      <c r="G37" s="31">
        <v>1684</v>
      </c>
      <c r="H37" s="32">
        <f t="shared" si="4"/>
        <v>0.0042942</v>
      </c>
      <c r="I37" s="2">
        <v>2.55</v>
      </c>
      <c r="J37" s="36">
        <v>1402</v>
      </c>
      <c r="K37" s="37">
        <f t="shared" si="5"/>
        <v>0.0035751</v>
      </c>
      <c r="L37" s="2">
        <v>2.55</v>
      </c>
      <c r="M37" s="36">
        <v>1263</v>
      </c>
      <c r="N37" s="37">
        <f t="shared" si="6"/>
        <v>0.00322065</v>
      </c>
    </row>
    <row r="38" spans="4:14">
      <c r="D38" s="2"/>
      <c r="E38" s="2" t="s">
        <v>21</v>
      </c>
      <c r="F38" s="2">
        <v>0.1</v>
      </c>
      <c r="G38" s="31">
        <v>1684</v>
      </c>
      <c r="H38" s="32">
        <f t="shared" si="4"/>
        <v>0.0001684</v>
      </c>
      <c r="I38" s="2">
        <v>0.1</v>
      </c>
      <c r="J38" s="36">
        <v>1402</v>
      </c>
      <c r="K38" s="37">
        <f t="shared" si="5"/>
        <v>0.0001402</v>
      </c>
      <c r="L38" s="2">
        <v>0.1</v>
      </c>
      <c r="M38" s="36">
        <v>1263</v>
      </c>
      <c r="N38" s="37">
        <f t="shared" si="6"/>
        <v>0.0001263</v>
      </c>
    </row>
    <row r="39" spans="4:14">
      <c r="D39" s="2"/>
      <c r="E39" s="2" t="s">
        <v>22</v>
      </c>
      <c r="F39" s="2">
        <v>0.53</v>
      </c>
      <c r="G39" s="31">
        <v>1684</v>
      </c>
      <c r="H39" s="32">
        <f t="shared" si="4"/>
        <v>0.00089252</v>
      </c>
      <c r="I39" s="2">
        <v>0.53</v>
      </c>
      <c r="J39" s="36">
        <v>1402</v>
      </c>
      <c r="K39" s="37">
        <f t="shared" si="5"/>
        <v>0.00074306</v>
      </c>
      <c r="L39" s="2">
        <v>0.53</v>
      </c>
      <c r="M39" s="36">
        <v>1263</v>
      </c>
      <c r="N39" s="37">
        <f t="shared" si="6"/>
        <v>0.00066939</v>
      </c>
    </row>
    <row r="40" spans="4:14">
      <c r="D40" s="2"/>
      <c r="E40" s="2" t="s">
        <v>23</v>
      </c>
      <c r="F40" s="2">
        <v>0.022</v>
      </c>
      <c r="G40" s="31">
        <v>1684</v>
      </c>
      <c r="H40" s="32">
        <f t="shared" si="4"/>
        <v>3.7048e-5</v>
      </c>
      <c r="I40" s="2">
        <v>0.022</v>
      </c>
      <c r="J40" s="36">
        <v>1402</v>
      </c>
      <c r="K40" s="37">
        <f t="shared" si="5"/>
        <v>3.0844e-5</v>
      </c>
      <c r="L40" s="2">
        <v>0.022</v>
      </c>
      <c r="M40" s="36">
        <v>1263</v>
      </c>
      <c r="N40" s="37">
        <f t="shared" si="6"/>
        <v>2.7786e-5</v>
      </c>
    </row>
    <row r="41" spans="4:14">
      <c r="D41" s="2"/>
      <c r="E41" s="2" t="s">
        <v>24</v>
      </c>
      <c r="F41" s="2">
        <v>10.3</v>
      </c>
      <c r="G41" s="31">
        <v>1684</v>
      </c>
      <c r="H41" s="32">
        <f t="shared" si="4"/>
        <v>0.0173452</v>
      </c>
      <c r="I41" s="2">
        <v>10.3</v>
      </c>
      <c r="J41" s="36">
        <v>1402</v>
      </c>
      <c r="K41" s="37">
        <f t="shared" si="5"/>
        <v>0.0144406</v>
      </c>
      <c r="L41" s="2">
        <v>10.3</v>
      </c>
      <c r="M41" s="36">
        <v>1263</v>
      </c>
      <c r="N41" s="37">
        <f t="shared" si="6"/>
        <v>0.0130089</v>
      </c>
    </row>
    <row r="42" spans="4:14">
      <c r="D42" s="2"/>
      <c r="E42" s="2" t="s">
        <v>25</v>
      </c>
      <c r="F42" s="2">
        <v>62</v>
      </c>
      <c r="G42" s="31">
        <v>1684</v>
      </c>
      <c r="H42" s="32">
        <f t="shared" si="4"/>
        <v>0.104408</v>
      </c>
      <c r="I42" s="2">
        <v>62</v>
      </c>
      <c r="J42" s="36">
        <v>1402</v>
      </c>
      <c r="K42" s="37">
        <f t="shared" si="5"/>
        <v>0.086924</v>
      </c>
      <c r="L42" s="2">
        <v>62</v>
      </c>
      <c r="M42" s="36">
        <v>1263</v>
      </c>
      <c r="N42" s="37">
        <f t="shared" si="6"/>
        <v>0.078306</v>
      </c>
    </row>
    <row r="43" spans="4:14">
      <c r="D43" s="2"/>
      <c r="E43" s="2" t="s">
        <v>26</v>
      </c>
      <c r="F43" s="2">
        <v>0.03</v>
      </c>
      <c r="G43" s="31">
        <v>1684</v>
      </c>
      <c r="H43" s="32">
        <f t="shared" si="4"/>
        <v>5.052e-5</v>
      </c>
      <c r="I43" s="2">
        <v>0.03</v>
      </c>
      <c r="J43" s="36">
        <v>1402</v>
      </c>
      <c r="K43" s="37">
        <f t="shared" si="5"/>
        <v>4.206e-5</v>
      </c>
      <c r="L43" s="2">
        <v>0.03</v>
      </c>
      <c r="M43" s="36">
        <v>1263</v>
      </c>
      <c r="N43" s="37">
        <f t="shared" si="6"/>
        <v>3.789e-5</v>
      </c>
    </row>
    <row r="44" spans="4:14">
      <c r="D44" s="20"/>
      <c r="E44" s="20" t="s">
        <v>27</v>
      </c>
      <c r="F44" s="33">
        <v>7.3</v>
      </c>
      <c r="G44" s="34"/>
      <c r="H44" s="35"/>
      <c r="I44" s="33">
        <v>7.3</v>
      </c>
      <c r="J44" s="34"/>
      <c r="K44" s="35"/>
      <c r="L44" s="33">
        <v>7.3</v>
      </c>
      <c r="M44" s="34"/>
      <c r="N44" s="35"/>
    </row>
  </sheetData>
  <mergeCells count="18">
    <mergeCell ref="A3:O3"/>
    <mergeCell ref="C12:F12"/>
    <mergeCell ref="G12:J12"/>
    <mergeCell ref="K12:N12"/>
    <mergeCell ref="C26:F26"/>
    <mergeCell ref="G26:J26"/>
    <mergeCell ref="K26:N26"/>
    <mergeCell ref="F30:H30"/>
    <mergeCell ref="I30:K30"/>
    <mergeCell ref="L30:N30"/>
    <mergeCell ref="F44:H44"/>
    <mergeCell ref="I44:K44"/>
    <mergeCell ref="L44:N44"/>
    <mergeCell ref="A12:A13"/>
    <mergeCell ref="B12:B13"/>
    <mergeCell ref="D30:D31"/>
    <mergeCell ref="E30:E31"/>
    <mergeCell ref="O12:O13"/>
  </mergeCell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35"/>
  <sheetViews>
    <sheetView zoomScale="120" zoomScaleNormal="120" workbookViewId="0">
      <selection activeCell="M26" sqref="M26"/>
    </sheetView>
  </sheetViews>
  <sheetFormatPr defaultColWidth="9" defaultRowHeight="13.5"/>
  <sheetData>
    <row r="2" ht="20.25" spans="1:15">
      <c r="A2" s="1" t="s">
        <v>30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2" t="s">
        <v>6</v>
      </c>
      <c r="B3" s="2" t="s">
        <v>7</v>
      </c>
      <c r="C3" s="3" t="s">
        <v>8</v>
      </c>
      <c r="D3" s="3"/>
      <c r="E3" s="3"/>
      <c r="F3" s="3"/>
      <c r="G3" s="3" t="s">
        <v>9</v>
      </c>
      <c r="H3" s="3"/>
      <c r="I3" s="3"/>
      <c r="J3" s="3"/>
      <c r="K3" s="3" t="s">
        <v>10</v>
      </c>
      <c r="L3" s="3"/>
      <c r="M3" s="3"/>
      <c r="N3" s="3"/>
      <c r="O3" s="12" t="s">
        <v>11</v>
      </c>
    </row>
    <row r="4" ht="24" spans="1:15">
      <c r="A4" s="2"/>
      <c r="B4" s="2"/>
      <c r="C4" s="2" t="s">
        <v>31</v>
      </c>
      <c r="D4" s="2" t="s">
        <v>32</v>
      </c>
      <c r="E4" s="2" t="s">
        <v>33</v>
      </c>
      <c r="F4" s="2" t="s">
        <v>13</v>
      </c>
      <c r="G4" s="2" t="s">
        <v>31</v>
      </c>
      <c r="H4" s="2" t="s">
        <v>32</v>
      </c>
      <c r="I4" s="2" t="s">
        <v>33</v>
      </c>
      <c r="J4" s="2" t="s">
        <v>13</v>
      </c>
      <c r="K4" s="2" t="s">
        <v>31</v>
      </c>
      <c r="L4" s="2" t="s">
        <v>32</v>
      </c>
      <c r="M4" s="2" t="s">
        <v>33</v>
      </c>
      <c r="N4" s="2" t="s">
        <v>13</v>
      </c>
      <c r="O4" s="12"/>
    </row>
    <row r="5" spans="1:15">
      <c r="A5" s="2" t="s">
        <v>34</v>
      </c>
      <c r="B5" s="2" t="s">
        <v>35</v>
      </c>
      <c r="C5" s="2">
        <v>6.2</v>
      </c>
      <c r="D5" s="4">
        <v>9085</v>
      </c>
      <c r="E5" s="5">
        <v>464</v>
      </c>
      <c r="F5" s="6">
        <f t="shared" ref="F5:F16" si="0">C5*D5*E5/1000000000</f>
        <v>0.026135728</v>
      </c>
      <c r="G5" s="2">
        <v>6.2</v>
      </c>
      <c r="H5" s="4">
        <v>9085</v>
      </c>
      <c r="I5" s="2">
        <v>432</v>
      </c>
      <c r="J5" s="6">
        <f t="shared" ref="J5:J16" si="1">G5*H5*I5/1000000000</f>
        <v>0.024333264</v>
      </c>
      <c r="K5" s="2">
        <v>6.2</v>
      </c>
      <c r="L5" s="4">
        <v>9085</v>
      </c>
      <c r="M5" s="2">
        <v>464</v>
      </c>
      <c r="N5" s="6">
        <f t="shared" ref="N5:N16" si="2">K5*L5*M5/1000000000</f>
        <v>0.026135728</v>
      </c>
      <c r="O5" s="15">
        <f>N5+J5+F5</f>
        <v>0.07660472</v>
      </c>
    </row>
    <row r="6" spans="1:15">
      <c r="A6" s="2" t="s">
        <v>36</v>
      </c>
      <c r="B6" s="2" t="s">
        <v>35</v>
      </c>
      <c r="C6" s="2">
        <v>2.8</v>
      </c>
      <c r="D6" s="4">
        <v>4650</v>
      </c>
      <c r="E6" s="7">
        <v>464</v>
      </c>
      <c r="F6" s="6">
        <f t="shared" si="0"/>
        <v>0.00604128</v>
      </c>
      <c r="G6" s="2">
        <v>2.8</v>
      </c>
      <c r="H6" s="4">
        <v>4650</v>
      </c>
      <c r="I6" s="12">
        <v>432</v>
      </c>
      <c r="J6" s="6">
        <f t="shared" si="1"/>
        <v>0.00562464</v>
      </c>
      <c r="K6" s="2">
        <v>2.8</v>
      </c>
      <c r="L6" s="4">
        <v>4650</v>
      </c>
      <c r="M6" s="12">
        <v>440</v>
      </c>
      <c r="N6" s="6">
        <f t="shared" si="2"/>
        <v>0.0057288</v>
      </c>
      <c r="O6" s="15">
        <f t="shared" ref="O5:O35" si="3">N6+J6+F6</f>
        <v>0.01739472</v>
      </c>
    </row>
    <row r="7" spans="1:15">
      <c r="A7" s="2" t="s">
        <v>37</v>
      </c>
      <c r="B7" s="2" t="s">
        <v>35</v>
      </c>
      <c r="C7" s="2">
        <v>2.5</v>
      </c>
      <c r="D7" s="4">
        <v>5183</v>
      </c>
      <c r="E7" s="7">
        <v>464</v>
      </c>
      <c r="F7" s="6">
        <f t="shared" si="0"/>
        <v>0.00601228</v>
      </c>
      <c r="G7" s="2">
        <v>2.5</v>
      </c>
      <c r="H7" s="4">
        <v>5183</v>
      </c>
      <c r="I7" s="12">
        <v>432</v>
      </c>
      <c r="J7" s="6">
        <f t="shared" si="1"/>
        <v>0.00559764</v>
      </c>
      <c r="K7" s="2">
        <v>2.5</v>
      </c>
      <c r="L7" s="4">
        <v>5183</v>
      </c>
      <c r="M7" s="12">
        <v>448</v>
      </c>
      <c r="N7" s="6">
        <f t="shared" si="2"/>
        <v>0.00580496</v>
      </c>
      <c r="O7" s="15">
        <f t="shared" si="3"/>
        <v>0.01741488</v>
      </c>
    </row>
    <row r="8" spans="1:15">
      <c r="A8" s="2" t="s">
        <v>38</v>
      </c>
      <c r="B8" s="2" t="s">
        <v>35</v>
      </c>
      <c r="C8" s="2">
        <v>3</v>
      </c>
      <c r="D8" s="4">
        <v>10765</v>
      </c>
      <c r="E8" s="5">
        <v>676</v>
      </c>
      <c r="F8" s="6">
        <f t="shared" si="0"/>
        <v>0.02183142</v>
      </c>
      <c r="G8" s="2">
        <v>3</v>
      </c>
      <c r="H8" s="4">
        <v>10765</v>
      </c>
      <c r="I8" s="2">
        <v>624</v>
      </c>
      <c r="J8" s="6">
        <f t="shared" si="1"/>
        <v>0.02015208</v>
      </c>
      <c r="K8" s="2">
        <v>3</v>
      </c>
      <c r="L8" s="4">
        <v>10765</v>
      </c>
      <c r="M8" s="2">
        <v>648</v>
      </c>
      <c r="N8" s="6">
        <f t="shared" si="2"/>
        <v>0.02092716</v>
      </c>
      <c r="O8" s="15">
        <f t="shared" si="3"/>
        <v>0.06291066</v>
      </c>
    </row>
    <row r="9" spans="1:15">
      <c r="A9" s="2" t="s">
        <v>39</v>
      </c>
      <c r="B9" s="2" t="s">
        <v>35</v>
      </c>
      <c r="C9" s="2">
        <v>2.5</v>
      </c>
      <c r="D9" s="4">
        <v>7652</v>
      </c>
      <c r="E9" s="5">
        <v>676</v>
      </c>
      <c r="F9" s="6">
        <f t="shared" si="0"/>
        <v>0.01293188</v>
      </c>
      <c r="G9" s="2">
        <v>2.5</v>
      </c>
      <c r="H9" s="4">
        <v>7652</v>
      </c>
      <c r="I9" s="2">
        <v>624</v>
      </c>
      <c r="J9" s="6">
        <f t="shared" si="1"/>
        <v>0.01193712</v>
      </c>
      <c r="K9" s="2">
        <v>2.5</v>
      </c>
      <c r="L9" s="4">
        <v>7652</v>
      </c>
      <c r="M9" s="2">
        <v>648</v>
      </c>
      <c r="N9" s="6">
        <f t="shared" si="2"/>
        <v>0.01239624</v>
      </c>
      <c r="O9" s="15">
        <f t="shared" si="3"/>
        <v>0.03726524</v>
      </c>
    </row>
    <row r="10" spans="1:15">
      <c r="A10" s="2" t="s">
        <v>40</v>
      </c>
      <c r="B10" s="2" t="s">
        <v>35</v>
      </c>
      <c r="C10" s="2">
        <v>2.5</v>
      </c>
      <c r="D10" s="4">
        <v>13002</v>
      </c>
      <c r="E10" s="7">
        <v>464</v>
      </c>
      <c r="F10" s="6">
        <f t="shared" si="0"/>
        <v>0.01508232</v>
      </c>
      <c r="G10" s="2">
        <v>2.5</v>
      </c>
      <c r="H10" s="4">
        <v>13002</v>
      </c>
      <c r="I10" s="12">
        <v>432</v>
      </c>
      <c r="J10" s="6">
        <f t="shared" si="1"/>
        <v>0.01404216</v>
      </c>
      <c r="K10" s="2">
        <v>2.5</v>
      </c>
      <c r="L10" s="4">
        <v>13002</v>
      </c>
      <c r="M10" s="12">
        <v>448</v>
      </c>
      <c r="N10" s="6">
        <f t="shared" si="2"/>
        <v>0.01456224</v>
      </c>
      <c r="O10" s="15">
        <f t="shared" si="3"/>
        <v>0.04368672</v>
      </c>
    </row>
    <row r="11" spans="1:15">
      <c r="A11" s="2" t="s">
        <v>41</v>
      </c>
      <c r="B11" s="2" t="s">
        <v>35</v>
      </c>
      <c r="C11" s="2">
        <v>3.9</v>
      </c>
      <c r="D11" s="4">
        <v>19259</v>
      </c>
      <c r="E11" s="7">
        <v>232</v>
      </c>
      <c r="F11" s="6">
        <f t="shared" si="0"/>
        <v>0.0174255432</v>
      </c>
      <c r="G11" s="2">
        <v>3.9</v>
      </c>
      <c r="H11" s="4">
        <v>19259</v>
      </c>
      <c r="I11" s="12">
        <v>216</v>
      </c>
      <c r="J11" s="6">
        <f t="shared" si="1"/>
        <v>0.0162237816</v>
      </c>
      <c r="K11" s="2">
        <v>3.9</v>
      </c>
      <c r="L11" s="4">
        <v>19259</v>
      </c>
      <c r="M11" s="12">
        <v>224</v>
      </c>
      <c r="N11" s="6">
        <f t="shared" si="2"/>
        <v>0.0168246624</v>
      </c>
      <c r="O11" s="15">
        <f t="shared" si="3"/>
        <v>0.0504739872</v>
      </c>
    </row>
    <row r="12" spans="1:15">
      <c r="A12" s="2" t="s">
        <v>42</v>
      </c>
      <c r="B12" s="2" t="s">
        <v>35</v>
      </c>
      <c r="C12" s="2">
        <v>5.5</v>
      </c>
      <c r="D12" s="4">
        <v>8802</v>
      </c>
      <c r="E12" s="7">
        <v>464</v>
      </c>
      <c r="F12" s="6">
        <f t="shared" si="0"/>
        <v>0.022462704</v>
      </c>
      <c r="G12" s="2">
        <v>5.5</v>
      </c>
      <c r="H12" s="4">
        <v>8802</v>
      </c>
      <c r="I12" s="12">
        <v>432</v>
      </c>
      <c r="J12" s="6">
        <f t="shared" si="1"/>
        <v>0.020913552</v>
      </c>
      <c r="K12" s="2">
        <v>5.5</v>
      </c>
      <c r="L12" s="4">
        <v>8802</v>
      </c>
      <c r="M12" s="12">
        <v>448</v>
      </c>
      <c r="N12" s="6">
        <f t="shared" si="2"/>
        <v>0.021688128</v>
      </c>
      <c r="O12" s="15">
        <f t="shared" si="3"/>
        <v>0.065064384</v>
      </c>
    </row>
    <row r="13" spans="1:15">
      <c r="A13" s="2" t="s">
        <v>43</v>
      </c>
      <c r="B13" s="2" t="s">
        <v>35</v>
      </c>
      <c r="C13" s="2">
        <v>2.3</v>
      </c>
      <c r="D13" s="4">
        <v>17394</v>
      </c>
      <c r="E13" s="7">
        <v>232</v>
      </c>
      <c r="F13" s="6">
        <f t="shared" si="0"/>
        <v>0.0092814384</v>
      </c>
      <c r="G13" s="2">
        <v>2.3</v>
      </c>
      <c r="H13" s="4">
        <v>17394</v>
      </c>
      <c r="I13" s="12">
        <v>216</v>
      </c>
      <c r="J13" s="6">
        <f t="shared" si="1"/>
        <v>0.0086413392</v>
      </c>
      <c r="K13" s="2">
        <v>2.3</v>
      </c>
      <c r="L13" s="4">
        <v>17394</v>
      </c>
      <c r="M13" s="12">
        <v>224</v>
      </c>
      <c r="N13" s="6">
        <f t="shared" si="2"/>
        <v>0.0089613888</v>
      </c>
      <c r="O13" s="15">
        <f t="shared" si="3"/>
        <v>0.0268841664</v>
      </c>
    </row>
    <row r="14" spans="1:15">
      <c r="A14" s="2" t="s">
        <v>44</v>
      </c>
      <c r="B14" s="2" t="s">
        <v>35</v>
      </c>
      <c r="C14" s="2">
        <v>3.1</v>
      </c>
      <c r="D14" s="4">
        <v>18767</v>
      </c>
      <c r="E14" s="7">
        <v>230</v>
      </c>
      <c r="F14" s="6">
        <f t="shared" si="0"/>
        <v>0.013380871</v>
      </c>
      <c r="G14" s="2">
        <v>3.1</v>
      </c>
      <c r="H14" s="4">
        <v>18767</v>
      </c>
      <c r="I14" s="12">
        <v>243</v>
      </c>
      <c r="J14" s="6">
        <f t="shared" si="1"/>
        <v>0.0141371811</v>
      </c>
      <c r="K14" s="2">
        <v>3.1</v>
      </c>
      <c r="L14" s="4">
        <v>18767</v>
      </c>
      <c r="M14" s="12">
        <v>225</v>
      </c>
      <c r="N14" s="6">
        <f t="shared" si="2"/>
        <v>0.0130899825</v>
      </c>
      <c r="O14" s="15">
        <f t="shared" si="3"/>
        <v>0.0406080346</v>
      </c>
    </row>
    <row r="15" spans="1:15">
      <c r="A15" s="8" t="s">
        <v>45</v>
      </c>
      <c r="B15" s="2" t="s">
        <v>35</v>
      </c>
      <c r="C15" s="2">
        <v>2.2</v>
      </c>
      <c r="D15" s="2">
        <v>282</v>
      </c>
      <c r="E15" s="5">
        <v>232</v>
      </c>
      <c r="F15" s="6">
        <f t="shared" si="0"/>
        <v>0.0001439328</v>
      </c>
      <c r="G15" s="2">
        <v>2.2</v>
      </c>
      <c r="H15" s="2">
        <v>282</v>
      </c>
      <c r="I15" s="2">
        <v>216</v>
      </c>
      <c r="J15" s="6">
        <f t="shared" si="1"/>
        <v>0.0001340064</v>
      </c>
      <c r="K15" s="2">
        <v>2.2</v>
      </c>
      <c r="L15" s="2">
        <v>282</v>
      </c>
      <c r="M15" s="2">
        <v>224</v>
      </c>
      <c r="N15" s="6">
        <f t="shared" si="2"/>
        <v>0.0001389696</v>
      </c>
      <c r="O15" s="15">
        <f t="shared" si="3"/>
        <v>0.0004169088</v>
      </c>
    </row>
    <row r="16" spans="1:15">
      <c r="A16" s="8" t="s">
        <v>46</v>
      </c>
      <c r="B16" s="2" t="s">
        <v>35</v>
      </c>
      <c r="C16" s="2"/>
      <c r="D16" s="2"/>
      <c r="E16" s="5"/>
      <c r="F16" s="6"/>
      <c r="G16" s="2"/>
      <c r="H16" s="2"/>
      <c r="I16" s="2"/>
      <c r="J16" s="6"/>
      <c r="K16" s="2"/>
      <c r="L16" s="2"/>
      <c r="M16" s="2"/>
      <c r="N16" s="6"/>
      <c r="O16" s="15">
        <f t="shared" si="3"/>
        <v>0</v>
      </c>
    </row>
    <row r="17" spans="1:15">
      <c r="A17" s="3" t="s">
        <v>47</v>
      </c>
      <c r="B17" s="9"/>
      <c r="C17" s="2"/>
      <c r="D17" s="2"/>
      <c r="E17" s="5"/>
      <c r="F17" s="6">
        <f>SUM(F5:F16)</f>
        <v>0.1507293974</v>
      </c>
      <c r="G17" s="2"/>
      <c r="H17" s="2"/>
      <c r="I17" s="2"/>
      <c r="J17" s="6">
        <f>SUM(J5:J16)</f>
        <v>0.1417367643</v>
      </c>
      <c r="K17" s="2"/>
      <c r="L17" s="2"/>
      <c r="M17" s="2"/>
      <c r="N17" s="6">
        <f>SUM(N5:N16)</f>
        <v>0.1462582593</v>
      </c>
      <c r="O17" s="16">
        <f t="shared" si="3"/>
        <v>0.438724421</v>
      </c>
    </row>
    <row r="18" spans="1:15">
      <c r="A18" s="2" t="s">
        <v>39</v>
      </c>
      <c r="B18" s="3" t="s">
        <v>48</v>
      </c>
      <c r="C18" s="3">
        <v>1.5</v>
      </c>
      <c r="D18" s="2">
        <v>7652</v>
      </c>
      <c r="E18" s="10">
        <v>676</v>
      </c>
      <c r="F18" s="11">
        <f t="shared" ref="F18:F22" si="4">C18*D18*E18/1000000000</f>
        <v>0.007759128</v>
      </c>
      <c r="G18" s="3">
        <v>1.5</v>
      </c>
      <c r="H18" s="2">
        <v>7652</v>
      </c>
      <c r="I18" s="3">
        <v>624</v>
      </c>
      <c r="J18" s="11">
        <f>I18*H18*G18/1000000000</f>
        <v>0.007162272</v>
      </c>
      <c r="K18" s="3">
        <v>1.5</v>
      </c>
      <c r="L18" s="2">
        <v>7652</v>
      </c>
      <c r="M18" s="3">
        <v>648</v>
      </c>
      <c r="N18" s="11">
        <f>M18*L18*K18/1000000000</f>
        <v>0.007437744</v>
      </c>
      <c r="O18" s="15">
        <f t="shared" si="3"/>
        <v>0.022359144</v>
      </c>
    </row>
    <row r="19" spans="1:15">
      <c r="A19" s="8" t="s">
        <v>45</v>
      </c>
      <c r="B19" s="3" t="s">
        <v>48</v>
      </c>
      <c r="C19" s="3">
        <v>59</v>
      </c>
      <c r="D19" s="2">
        <v>282</v>
      </c>
      <c r="E19" s="5">
        <v>232</v>
      </c>
      <c r="F19" s="11">
        <f t="shared" si="4"/>
        <v>0.003860016</v>
      </c>
      <c r="G19" s="3">
        <v>59</v>
      </c>
      <c r="H19" s="2">
        <v>282</v>
      </c>
      <c r="I19" s="2">
        <v>216</v>
      </c>
      <c r="J19" s="11">
        <f>G19*H19*I19/1000000000</f>
        <v>0.003593808</v>
      </c>
      <c r="K19" s="3">
        <v>59</v>
      </c>
      <c r="L19" s="2">
        <v>282</v>
      </c>
      <c r="M19" s="2">
        <v>224</v>
      </c>
      <c r="N19" s="11">
        <f>K19*L19*M19/1000000000</f>
        <v>0.003726912</v>
      </c>
      <c r="O19" s="15">
        <f t="shared" si="3"/>
        <v>0.011180736</v>
      </c>
    </row>
    <row r="20" spans="1:15">
      <c r="A20" s="8" t="s">
        <v>46</v>
      </c>
      <c r="B20" s="3" t="s">
        <v>48</v>
      </c>
      <c r="C20" s="3"/>
      <c r="D20" s="2"/>
      <c r="E20" s="5"/>
      <c r="F20" s="11"/>
      <c r="G20" s="3"/>
      <c r="H20" s="2"/>
      <c r="I20" s="2"/>
      <c r="J20" s="11"/>
      <c r="K20" s="3"/>
      <c r="L20" s="2"/>
      <c r="M20" s="2"/>
      <c r="N20" s="11">
        <f>K20*L20*M20/1000000000</f>
        <v>0</v>
      </c>
      <c r="O20" s="15">
        <f t="shared" si="3"/>
        <v>0</v>
      </c>
    </row>
    <row r="21" spans="1:15">
      <c r="A21" s="3" t="s">
        <v>49</v>
      </c>
      <c r="B21" s="3" t="s">
        <v>48</v>
      </c>
      <c r="C21" s="12">
        <v>1.5</v>
      </c>
      <c r="D21" s="13">
        <v>368</v>
      </c>
      <c r="E21" s="7">
        <v>100</v>
      </c>
      <c r="F21" s="11">
        <f t="shared" si="4"/>
        <v>5.52e-5</v>
      </c>
      <c r="G21" s="12">
        <v>1.5</v>
      </c>
      <c r="H21" s="13">
        <v>368</v>
      </c>
      <c r="I21" s="12">
        <v>88</v>
      </c>
      <c r="J21" s="11">
        <f>G21*H21*I21/1000000000</f>
        <v>4.8576e-5</v>
      </c>
      <c r="K21" s="12">
        <v>1.5</v>
      </c>
      <c r="L21" s="13">
        <v>368</v>
      </c>
      <c r="M21" s="12">
        <v>100</v>
      </c>
      <c r="N21" s="11">
        <f>K21*L21*M21/1000000000</f>
        <v>5.52e-5</v>
      </c>
      <c r="O21" s="15">
        <f t="shared" si="3"/>
        <v>0.000158976</v>
      </c>
    </row>
    <row r="22" spans="1:15">
      <c r="A22" s="3" t="s">
        <v>50</v>
      </c>
      <c r="B22" s="3" t="s">
        <v>48</v>
      </c>
      <c r="C22" s="12">
        <v>17</v>
      </c>
      <c r="D22" s="12">
        <v>2792</v>
      </c>
      <c r="E22" s="7">
        <v>448</v>
      </c>
      <c r="F22" s="11">
        <f t="shared" si="4"/>
        <v>0.021263872</v>
      </c>
      <c r="G22" s="12">
        <v>17</v>
      </c>
      <c r="H22" s="12">
        <v>2792</v>
      </c>
      <c r="I22" s="12">
        <v>432</v>
      </c>
      <c r="J22" s="11">
        <f>G22*H22*I22/1000000000</f>
        <v>0.020504448</v>
      </c>
      <c r="K22" s="12">
        <v>17</v>
      </c>
      <c r="L22" s="12">
        <v>2792</v>
      </c>
      <c r="M22" s="12">
        <v>448</v>
      </c>
      <c r="N22" s="11">
        <f>K22*L22*M22/1000000000</f>
        <v>0.021263872</v>
      </c>
      <c r="O22" s="15">
        <f t="shared" si="3"/>
        <v>0.063032192</v>
      </c>
    </row>
    <row r="23" spans="1:15">
      <c r="A23" s="2" t="s">
        <v>47</v>
      </c>
      <c r="B23" s="3"/>
      <c r="C23" s="3"/>
      <c r="D23" s="3"/>
      <c r="E23" s="5"/>
      <c r="F23" s="11">
        <f>SUM(F18:F22)</f>
        <v>0.032938216</v>
      </c>
      <c r="G23" s="3"/>
      <c r="H23" s="3"/>
      <c r="I23" s="2"/>
      <c r="J23" s="11">
        <f>SUM(J18:J22)</f>
        <v>0.031309104</v>
      </c>
      <c r="K23" s="3"/>
      <c r="L23" s="3"/>
      <c r="M23" s="2"/>
      <c r="N23" s="11">
        <f>SUM(N18:N22)</f>
        <v>0.032483728</v>
      </c>
      <c r="O23" s="16">
        <f t="shared" si="3"/>
        <v>0.096731048</v>
      </c>
    </row>
    <row r="24" spans="1:15">
      <c r="A24" s="2" t="s">
        <v>39</v>
      </c>
      <c r="B24" s="3" t="s">
        <v>51</v>
      </c>
      <c r="C24" s="3">
        <v>1.5</v>
      </c>
      <c r="D24" s="2">
        <v>7652</v>
      </c>
      <c r="E24" s="5">
        <v>676</v>
      </c>
      <c r="F24" s="14">
        <f>C24*D24*E24/1000000000</f>
        <v>0.007759128</v>
      </c>
      <c r="G24" s="3">
        <v>1.5</v>
      </c>
      <c r="H24" s="2">
        <v>7652</v>
      </c>
      <c r="I24" s="2">
        <v>624</v>
      </c>
      <c r="J24" s="14">
        <f t="shared" ref="J24:J26" si="5">G24*H24*I24/1000000000</f>
        <v>0.007162272</v>
      </c>
      <c r="K24" s="3">
        <v>1.5</v>
      </c>
      <c r="L24" s="2">
        <v>7652</v>
      </c>
      <c r="M24" s="2">
        <v>648</v>
      </c>
      <c r="N24" s="14">
        <f t="shared" ref="N24:N26" si="6">K24*L24*M24/1000000000</f>
        <v>0.007437744</v>
      </c>
      <c r="O24" s="17">
        <f t="shared" si="3"/>
        <v>0.022359144</v>
      </c>
    </row>
    <row r="25" spans="1:15">
      <c r="A25" s="8" t="s">
        <v>45</v>
      </c>
      <c r="B25" s="3" t="s">
        <v>51</v>
      </c>
      <c r="C25" s="3">
        <v>11</v>
      </c>
      <c r="D25" s="2">
        <v>282</v>
      </c>
      <c r="E25" s="5">
        <v>232</v>
      </c>
      <c r="F25" s="11">
        <f t="shared" ref="F24:F26" si="7">C25*D25*E25/1000000000</f>
        <v>0.000719664</v>
      </c>
      <c r="G25" s="3">
        <v>11</v>
      </c>
      <c r="H25" s="2">
        <v>282</v>
      </c>
      <c r="I25" s="2">
        <v>216</v>
      </c>
      <c r="J25" s="11">
        <f t="shared" si="5"/>
        <v>0.000670032</v>
      </c>
      <c r="K25" s="3">
        <v>11</v>
      </c>
      <c r="L25" s="2">
        <v>282</v>
      </c>
      <c r="M25" s="2">
        <v>224</v>
      </c>
      <c r="N25" s="11">
        <f t="shared" si="6"/>
        <v>0.000694848</v>
      </c>
      <c r="O25" s="17">
        <f t="shared" si="3"/>
        <v>0.002084544</v>
      </c>
    </row>
    <row r="26" spans="1:15">
      <c r="A26" s="8" t="s">
        <v>46</v>
      </c>
      <c r="B26" s="3" t="s">
        <v>51</v>
      </c>
      <c r="C26" s="3"/>
      <c r="D26" s="2"/>
      <c r="E26" s="5"/>
      <c r="F26" s="11"/>
      <c r="G26" s="3"/>
      <c r="H26" s="2"/>
      <c r="I26" s="2"/>
      <c r="J26" s="11"/>
      <c r="K26" s="3"/>
      <c r="L26" s="2"/>
      <c r="M26" s="2"/>
      <c r="N26" s="11"/>
      <c r="O26" s="17">
        <f t="shared" si="3"/>
        <v>0</v>
      </c>
    </row>
    <row r="27" spans="1:15">
      <c r="A27" s="3" t="s">
        <v>47</v>
      </c>
      <c r="B27" s="3"/>
      <c r="C27" s="3"/>
      <c r="D27" s="3"/>
      <c r="E27" s="5"/>
      <c r="F27" s="14">
        <f>SUM(F24:F26)</f>
        <v>0.008478792</v>
      </c>
      <c r="G27" s="3"/>
      <c r="H27" s="3"/>
      <c r="I27" s="2"/>
      <c r="J27" s="14">
        <f>SUM(J24:J26)</f>
        <v>0.007832304</v>
      </c>
      <c r="K27" s="3"/>
      <c r="L27" s="3"/>
      <c r="M27" s="2"/>
      <c r="N27" s="18">
        <f>SUM(N24:N26)</f>
        <v>0.008132592</v>
      </c>
      <c r="O27" s="19">
        <f t="shared" si="3"/>
        <v>0.024443688</v>
      </c>
    </row>
    <row r="28" spans="1:15">
      <c r="A28" s="12" t="s">
        <v>52</v>
      </c>
      <c r="B28" s="12" t="s">
        <v>53</v>
      </c>
      <c r="C28" s="12">
        <v>1.09</v>
      </c>
      <c r="D28" s="12">
        <v>9623</v>
      </c>
      <c r="E28" s="10">
        <v>261</v>
      </c>
      <c r="F28" s="11">
        <f>C28*D28*E28/1000000000</f>
        <v>0.00273764727</v>
      </c>
      <c r="G28" s="12">
        <v>1.09</v>
      </c>
      <c r="H28" s="12">
        <v>9623</v>
      </c>
      <c r="I28" s="3">
        <v>243</v>
      </c>
      <c r="J28" s="11">
        <f>I28*H28*G28/1000000000</f>
        <v>0.00254884401</v>
      </c>
      <c r="K28" s="12">
        <v>1.09</v>
      </c>
      <c r="L28" s="12">
        <v>9623</v>
      </c>
      <c r="M28" s="3">
        <v>252</v>
      </c>
      <c r="N28" s="11">
        <f>M28*L28*K28/1000000000</f>
        <v>0.00264324564</v>
      </c>
      <c r="O28" s="15">
        <f t="shared" si="3"/>
        <v>0.00792973692</v>
      </c>
    </row>
    <row r="29" spans="1:15">
      <c r="A29" s="12" t="s">
        <v>39</v>
      </c>
      <c r="B29" s="12" t="s">
        <v>53</v>
      </c>
      <c r="C29" s="12">
        <v>1.29</v>
      </c>
      <c r="D29" s="2">
        <v>7652</v>
      </c>
      <c r="E29" s="7">
        <v>676</v>
      </c>
      <c r="F29" s="11">
        <f t="shared" ref="F28:F32" si="8">C29*D29*E29/1000000000</f>
        <v>0.00667285008</v>
      </c>
      <c r="G29" s="12">
        <v>1.29</v>
      </c>
      <c r="H29" s="2">
        <v>7652</v>
      </c>
      <c r="I29" s="12">
        <v>624</v>
      </c>
      <c r="J29" s="15">
        <f t="shared" ref="J29:J32" si="9">G29*H29*I29/1000000000</f>
        <v>0.00615955392</v>
      </c>
      <c r="K29" s="12">
        <v>1.29</v>
      </c>
      <c r="L29" s="2">
        <v>7652</v>
      </c>
      <c r="M29" s="12">
        <v>648</v>
      </c>
      <c r="N29" s="15">
        <f t="shared" ref="N29:N32" si="10">K29*L29*M29/1000000000</f>
        <v>0.00639645984</v>
      </c>
      <c r="O29" s="15">
        <f t="shared" si="3"/>
        <v>0.01922886384</v>
      </c>
    </row>
    <row r="30" spans="1:15">
      <c r="A30" s="3" t="s">
        <v>47</v>
      </c>
      <c r="B30" s="12"/>
      <c r="C30" s="12"/>
      <c r="D30" s="12"/>
      <c r="E30" s="7"/>
      <c r="F30" s="15">
        <f>SUM(F28:F29)</f>
        <v>0.00941049735</v>
      </c>
      <c r="G30" s="12"/>
      <c r="H30" s="12"/>
      <c r="I30" s="12"/>
      <c r="J30" s="15">
        <f>SUM(J28:J29)</f>
        <v>0.00870839793</v>
      </c>
      <c r="K30" s="12"/>
      <c r="L30" s="12"/>
      <c r="M30" s="12"/>
      <c r="N30" s="15">
        <f>SUM(N28:N29)</f>
        <v>0.00903970548</v>
      </c>
      <c r="O30" s="16">
        <f t="shared" si="3"/>
        <v>0.02715860076</v>
      </c>
    </row>
    <row r="31" spans="1:15">
      <c r="A31" s="3" t="s">
        <v>49</v>
      </c>
      <c r="B31" s="3" t="s">
        <v>20</v>
      </c>
      <c r="C31" s="12">
        <v>8.4</v>
      </c>
      <c r="D31" s="12">
        <v>368</v>
      </c>
      <c r="E31" s="7">
        <v>100</v>
      </c>
      <c r="F31" s="15">
        <f t="shared" si="8"/>
        <v>0.00030912</v>
      </c>
      <c r="G31" s="12">
        <v>8.4</v>
      </c>
      <c r="H31" s="12">
        <v>368</v>
      </c>
      <c r="I31" s="12">
        <v>88</v>
      </c>
      <c r="J31" s="15">
        <f t="shared" si="9"/>
        <v>0.0002720256</v>
      </c>
      <c r="K31" s="12">
        <v>8.4</v>
      </c>
      <c r="L31" s="12">
        <v>368</v>
      </c>
      <c r="M31" s="12">
        <v>100</v>
      </c>
      <c r="N31" s="15">
        <f t="shared" si="10"/>
        <v>0.00030912</v>
      </c>
      <c r="O31" s="15">
        <f t="shared" si="3"/>
        <v>0.0008902656</v>
      </c>
    </row>
    <row r="32" spans="1:15">
      <c r="A32" s="3" t="s">
        <v>50</v>
      </c>
      <c r="B32" s="3" t="s">
        <v>20</v>
      </c>
      <c r="C32" s="12">
        <v>3.23</v>
      </c>
      <c r="D32" s="12">
        <v>2792</v>
      </c>
      <c r="E32" s="7">
        <v>448</v>
      </c>
      <c r="F32" s="15">
        <f t="shared" si="8"/>
        <v>0.00404013568</v>
      </c>
      <c r="G32" s="12">
        <v>3.23</v>
      </c>
      <c r="H32" s="12">
        <v>2792</v>
      </c>
      <c r="I32" s="12">
        <v>432</v>
      </c>
      <c r="J32" s="15">
        <f t="shared" si="9"/>
        <v>0.00389584512</v>
      </c>
      <c r="K32" s="12">
        <v>3.23</v>
      </c>
      <c r="L32" s="12">
        <v>2792</v>
      </c>
      <c r="M32" s="12">
        <v>448</v>
      </c>
      <c r="N32" s="15">
        <f t="shared" si="10"/>
        <v>0.00404013568</v>
      </c>
      <c r="O32" s="15">
        <f t="shared" si="3"/>
        <v>0.01197611648</v>
      </c>
    </row>
    <row r="33" spans="1:15">
      <c r="A33" s="3" t="s">
        <v>54</v>
      </c>
      <c r="B33" s="12"/>
      <c r="C33" s="12"/>
      <c r="D33" s="12"/>
      <c r="E33" s="7"/>
      <c r="F33" s="15">
        <f>SUM(F31:F32)</f>
        <v>0.00434925568</v>
      </c>
      <c r="G33" s="12"/>
      <c r="H33" s="12"/>
      <c r="I33" s="12"/>
      <c r="J33" s="15">
        <f>SUM(J31:J32)</f>
        <v>0.00416787072</v>
      </c>
      <c r="K33" s="12"/>
      <c r="L33" s="12"/>
      <c r="M33" s="12"/>
      <c r="N33" s="15">
        <f>SUM(N31:N32)</f>
        <v>0.00434925568</v>
      </c>
      <c r="O33" s="16">
        <f t="shared" si="3"/>
        <v>0.01286638208</v>
      </c>
    </row>
    <row r="34" spans="1:15">
      <c r="A34" s="3" t="s">
        <v>50</v>
      </c>
      <c r="B34" s="3" t="s">
        <v>55</v>
      </c>
      <c r="C34" s="12">
        <v>8.6</v>
      </c>
      <c r="D34" s="12">
        <v>2792</v>
      </c>
      <c r="E34" s="7">
        <v>448</v>
      </c>
      <c r="F34" s="15">
        <f>C34*D34*E34/1000000000</f>
        <v>0.0107570176</v>
      </c>
      <c r="G34" s="12">
        <v>8.6</v>
      </c>
      <c r="H34" s="12">
        <v>2792</v>
      </c>
      <c r="I34" s="12">
        <v>432</v>
      </c>
      <c r="J34" s="15">
        <f>G34*H34*I34/1000000000</f>
        <v>0.0103728384</v>
      </c>
      <c r="K34" s="12">
        <v>8.6</v>
      </c>
      <c r="L34" s="12">
        <v>2792</v>
      </c>
      <c r="M34" s="12">
        <v>448</v>
      </c>
      <c r="N34" s="15">
        <f>K34*L34*M34/1000000000</f>
        <v>0.0107570176</v>
      </c>
      <c r="O34" s="15">
        <f t="shared" si="3"/>
        <v>0.0318868736</v>
      </c>
    </row>
    <row r="35" spans="1:15">
      <c r="A35" s="3" t="s">
        <v>47</v>
      </c>
      <c r="B35" s="3"/>
      <c r="C35" s="12"/>
      <c r="D35" s="12"/>
      <c r="E35" s="7"/>
      <c r="F35" s="15">
        <f>SUM(F34:F34)</f>
        <v>0.0107570176</v>
      </c>
      <c r="G35" s="12"/>
      <c r="H35" s="12"/>
      <c r="I35" s="12"/>
      <c r="J35" s="15">
        <f>SUM(J34:J34)</f>
        <v>0.0103728384</v>
      </c>
      <c r="K35" s="12"/>
      <c r="L35" s="12"/>
      <c r="M35" s="12"/>
      <c r="N35" s="15">
        <f>SUM(N34:N34)</f>
        <v>0.0107570176</v>
      </c>
      <c r="O35" s="16">
        <f t="shared" si="3"/>
        <v>0.0318868736</v>
      </c>
    </row>
  </sheetData>
  <mergeCells count="6">
    <mergeCell ref="A2:O2"/>
    <mergeCell ref="C3:F3"/>
    <mergeCell ref="G3:J3"/>
    <mergeCell ref="K3:N3"/>
    <mergeCell ref="A3:A4"/>
    <mergeCell ref="B3:B4"/>
  </mergeCells>
  <pageMargins left="0.306944444444444" right="0.306944444444444" top="0.357638888888889" bottom="0.357638888888889" header="0.298611111111111" footer="0.298611111111111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废水</vt:lpstr>
      <vt:lpstr>废气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2021-08-12T05:42:00Z</dcterms:created>
  <dcterms:modified xsi:type="dcterms:W3CDTF">2026-01-10T04:28:35Z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  <property fmtid="{D5CDD505-2E9C-101B-9397-08002B2CF9AE}" pid="3" name="ICV">
    <vt:lpwstr>ABFA383FE37E413BB80DDC4427B60B8F</vt:lpwstr>
  </property>
</Properties>
</file>