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 activeTab="1"/>
  </bookViews>
  <sheets>
    <sheet name="废水" sheetId="1" r:id="rId1"/>
    <sheet name="废气" sheetId="3" r:id="rId2"/>
  </sheets>
  <calcPr calcId="144525"/>
</workbook>
</file>

<file path=xl/sharedStrings.xml><?xml version="1.0" encoding="utf-8"?>
<sst xmlns="http://schemas.openxmlformats.org/spreadsheetml/2006/main" count="113" uniqueCount="54">
  <si>
    <t>2023年第2季度废水实际排放量计算结果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</si>
  <si>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</si>
  <si>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</si>
  <si>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</si>
  <si>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</si>
  <si>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</si>
  <si>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</si>
  <si>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</si>
  <si>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4月</t>
  </si>
  <si>
    <t>5月</t>
  </si>
  <si>
    <t>6月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</si>
  <si>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</si>
  <si>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</si>
  <si>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</si>
  <si>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</si>
  <si>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</si>
  <si>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</si>
  <si>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</si>
  <si>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</si>
  <si>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</si>
  <si>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</si>
  <si>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</si>
  <si>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</si>
  <si>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</si>
  <si>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</si>
  <si>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</si>
  <si>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</si>
  <si>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 xml:space="preserve">PH </t>
  </si>
  <si>
    <t>2023年第2季度废气实际排放量计算结果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</si>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</sst>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>
  <numFmts count="10">
    <numFmt numFmtId="176" formatCode="0;[Red]0"/>
    <numFmt numFmtId="177" formatCode="0.0000;[Red]0.0000"/>
    <numFmt numFmtId="178" formatCode="0.0000_ "/>
    <numFmt numFmtId="179" formatCode="0.000000_ "/>
    <numFmt numFmtId="41" formatCode="_ * #,##0_ ;_ * \-#,##0_ ;_ * &quot;-&quot;_ ;_ @_ "/>
    <numFmt numFmtId="42" formatCode="_ &quot;￥&quot;* #,##0_ ;_ &quot;￥&quot;* \-#,##0_ ;_ &quot;￥&quot;* &quot;-&quot;_ ;_ @_ "/>
    <numFmt numFmtId="180" formatCode="0.00000;[Red]0.00000"/>
    <numFmt numFmtId="44" formatCode="_ &quot;￥&quot;* #,##0.00_ ;_ &quot;￥&quot;* \-#,##0.00_ ;_ &quot;￥&quot;* &quot;-&quot;??_ ;_ @_ "/>
    <numFmt numFmtId="43" formatCode="_ * #,##0.00_ ;_ * \-#,##0.00_ ;_ * &quot;-&quot;??_ ;_ @_ "/>
    <numFmt numFmtId="181" formatCode="0.00000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0" fillId="27" borderId="11" applyNumberFormat="0" applyAlignment="0" applyProtection="0">
      <alignment vertical="center"/>
    </xf>
    <xf numFmtId="0" fontId="21" fillId="27" borderId="7" applyNumberFormat="0" applyAlignment="0" applyProtection="0">
      <alignment vertical="center"/>
    </xf>
    <xf numFmtId="0" fontId="22" fillId="32" borderId="1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17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F22" sqref="F22"/>
    </sheetView>
  </sheetViews>
  <sheetFormatPr defaultColWidth="9" defaultRowHeight="13.5"/>
  <cols>
    <col min="1" max="1" width="7.25" customWidth="1"/>
    <col min="2" max="2" width="9.375" customWidth="1"/>
    <col min="3" max="3" width="7.75" customWidth="1"/>
    <col min="4" max="4" width="7.25" customWidth="1"/>
    <col min="5" max="5" width="9.5" customWidth="1"/>
    <col min="6" max="6" width="9.375" customWidth="1"/>
    <col min="10" max="10" width="9.25"/>
    <col min="14" max="14" width="9.25"/>
    <col min="15" max="15" width="10.125"/>
  </cols>
  <sheetData>
    <row r="1" customHeight="1"/>
    <row r="3" ht="20.25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4" spans="1:8">
      <c r="A5" s="9" t="s">
        <v>1</v>
      </c>
      <c r="B5" s="9" t="s">
        <v>2</v>
      </c>
      <c r="C5" s="9" t="s">
        <v>3</v>
      </c>
      <c r="D5" s="2" t="s">
        <v>4</v>
      </c>
      <c r="E5" s="2" t="s">
        <v>5</v>
      </c>
      <c r="F5" s="10"/>
      <c r="G5" s="10"/>
      <c r="H5" s="10"/>
    </row>
    <row r="6" spans="1:8">
      <c r="A6" s="11">
        <v>4</v>
      </c>
      <c r="B6" s="12">
        <v>3968</v>
      </c>
      <c r="C6" s="11">
        <v>1380</v>
      </c>
      <c r="D6" s="11">
        <v>31</v>
      </c>
      <c r="E6" s="13">
        <f>C6/D6</f>
        <v>44.5161290322581</v>
      </c>
      <c r="F6" s="10"/>
      <c r="G6" s="10"/>
      <c r="H6" s="10"/>
    </row>
    <row r="7" spans="1:8">
      <c r="A7" s="11">
        <v>5</v>
      </c>
      <c r="B7" s="12">
        <v>3801</v>
      </c>
      <c r="C7" s="11">
        <v>1322</v>
      </c>
      <c r="D7" s="11">
        <v>29</v>
      </c>
      <c r="E7" s="13">
        <f>C7/D7</f>
        <v>45.5862068965517</v>
      </c>
      <c r="F7" s="10"/>
      <c r="G7" s="10"/>
      <c r="H7" s="10"/>
    </row>
    <row r="8" spans="1:8">
      <c r="A8" s="11">
        <v>6</v>
      </c>
      <c r="B8" s="12">
        <v>3530</v>
      </c>
      <c r="C8" s="11">
        <v>1227</v>
      </c>
      <c r="D8" s="11">
        <v>31</v>
      </c>
      <c r="E8" s="13">
        <f>C8/D8</f>
        <v>39.5806451612903</v>
      </c>
      <c r="F8" s="10"/>
      <c r="G8" s="10"/>
      <c r="H8" s="10"/>
    </row>
    <row r="12" spans="1:15">
      <c r="A12" s="2" t="s">
        <v>6</v>
      </c>
      <c r="B12" s="2" t="s">
        <v>7</v>
      </c>
      <c r="C12" s="2" t="s">
        <v>8</v>
      </c>
      <c r="D12" s="2"/>
      <c r="E12" s="2"/>
      <c r="F12" s="2"/>
      <c r="G12" s="2" t="s">
        <v>9</v>
      </c>
      <c r="H12" s="2"/>
      <c r="I12" s="2"/>
      <c r="J12" s="2"/>
      <c r="K12" s="2" t="s">
        <v>10</v>
      </c>
      <c r="L12" s="2"/>
      <c r="M12" s="2"/>
      <c r="N12" s="2"/>
      <c r="O12" s="2" t="s">
        <v>11</v>
      </c>
    </row>
    <row r="13" ht="24" spans="1:15">
      <c r="A13" s="2"/>
      <c r="B13" s="2"/>
      <c r="C13" s="2" t="s">
        <v>12</v>
      </c>
      <c r="D13" s="2" t="s">
        <v>5</v>
      </c>
      <c r="E13" s="2" t="s">
        <v>4</v>
      </c>
      <c r="F13" s="2" t="s">
        <v>13</v>
      </c>
      <c r="G13" s="2" t="s">
        <v>12</v>
      </c>
      <c r="H13" s="2" t="s">
        <v>5</v>
      </c>
      <c r="I13" s="2" t="s">
        <v>4</v>
      </c>
      <c r="J13" s="2" t="s">
        <v>13</v>
      </c>
      <c r="K13" s="2" t="s">
        <v>12</v>
      </c>
      <c r="L13" s="2" t="s">
        <v>5</v>
      </c>
      <c r="M13" s="2" t="s">
        <v>4</v>
      </c>
      <c r="N13" s="2" t="s">
        <v>13</v>
      </c>
      <c r="O13" s="2"/>
    </row>
    <row r="14" spans="1:15">
      <c r="A14" s="2" t="s">
        <v>14</v>
      </c>
      <c r="B14" s="2" t="s">
        <v>15</v>
      </c>
      <c r="C14" s="2">
        <v>64</v>
      </c>
      <c r="D14" s="11">
        <v>45</v>
      </c>
      <c r="E14" s="11">
        <v>31</v>
      </c>
      <c r="F14" s="4">
        <f>C14*D14*E14/1000000</f>
        <v>0.08928</v>
      </c>
      <c r="G14" s="2">
        <v>64</v>
      </c>
      <c r="H14" s="11">
        <v>46</v>
      </c>
      <c r="I14" s="11">
        <v>29</v>
      </c>
      <c r="J14" s="4">
        <f>G14*H14*I14/1000000</f>
        <v>0.085376</v>
      </c>
      <c r="K14" s="2">
        <v>64</v>
      </c>
      <c r="L14" s="11">
        <v>40</v>
      </c>
      <c r="M14" s="11">
        <v>31</v>
      </c>
      <c r="N14" s="4">
        <f>K14*L14*M14/1000000</f>
        <v>0.07936</v>
      </c>
      <c r="O14" s="4">
        <v>0.2541</v>
      </c>
    </row>
    <row r="15" spans="1:15">
      <c r="A15" s="2"/>
      <c r="B15" s="2" t="s">
        <v>16</v>
      </c>
      <c r="C15" s="2">
        <v>2.04</v>
      </c>
      <c r="D15" s="11">
        <v>45</v>
      </c>
      <c r="E15" s="11">
        <v>31</v>
      </c>
      <c r="F15" s="4">
        <f t="shared" ref="F15:F25" si="0">C15*D15*E15/1000000</f>
        <v>0.0028458</v>
      </c>
      <c r="G15" s="2">
        <v>2.04</v>
      </c>
      <c r="H15" s="11">
        <v>46</v>
      </c>
      <c r="I15" s="11">
        <v>29</v>
      </c>
      <c r="J15" s="4">
        <f t="shared" ref="J15:J25" si="1">G15*H15*I15/1000000</f>
        <v>0.00272136</v>
      </c>
      <c r="K15" s="2">
        <v>2.04</v>
      </c>
      <c r="L15" s="11">
        <v>40</v>
      </c>
      <c r="M15" s="11">
        <v>31</v>
      </c>
      <c r="N15" s="4">
        <f t="shared" ref="N15:N25" si="2">K15*L15*M15/1000000</f>
        <v>0.0025296</v>
      </c>
      <c r="O15" s="4">
        <v>0.008</v>
      </c>
    </row>
    <row r="16" spans="1:15">
      <c r="A16" s="2"/>
      <c r="B16" s="2" t="s">
        <v>17</v>
      </c>
      <c r="C16" s="2">
        <v>0.38</v>
      </c>
      <c r="D16" s="11">
        <v>45</v>
      </c>
      <c r="E16" s="11">
        <v>31</v>
      </c>
      <c r="F16" s="14">
        <f t="shared" si="0"/>
        <v>0.0005301</v>
      </c>
      <c r="G16" s="2">
        <v>0.38</v>
      </c>
      <c r="H16" s="11">
        <v>46</v>
      </c>
      <c r="I16" s="11">
        <v>29</v>
      </c>
      <c r="J16" s="14">
        <f t="shared" si="1"/>
        <v>0.00050692</v>
      </c>
      <c r="K16" s="2">
        <v>0.38</v>
      </c>
      <c r="L16" s="11">
        <v>40</v>
      </c>
      <c r="M16" s="11">
        <v>31</v>
      </c>
      <c r="N16" s="14">
        <f t="shared" si="2"/>
        <v>0.0004712</v>
      </c>
      <c r="O16" s="14">
        <f>F16+J16+N16</f>
        <v>0.00150822</v>
      </c>
    </row>
    <row r="17" spans="1:15">
      <c r="A17" s="2"/>
      <c r="B17" s="2" t="s">
        <v>18</v>
      </c>
      <c r="C17" s="2">
        <v>0.27</v>
      </c>
      <c r="D17" s="11">
        <v>45</v>
      </c>
      <c r="E17" s="11">
        <v>31</v>
      </c>
      <c r="F17" s="14">
        <f t="shared" si="0"/>
        <v>0.00037665</v>
      </c>
      <c r="G17" s="2">
        <v>0.27</v>
      </c>
      <c r="H17" s="11">
        <v>46</v>
      </c>
      <c r="I17" s="11">
        <v>29</v>
      </c>
      <c r="J17" s="14">
        <f t="shared" si="1"/>
        <v>0.00036018</v>
      </c>
      <c r="K17" s="2">
        <v>0.27</v>
      </c>
      <c r="L17" s="11">
        <v>40</v>
      </c>
      <c r="M17" s="11">
        <v>31</v>
      </c>
      <c r="N17" s="14">
        <f t="shared" si="2"/>
        <v>0.0003348</v>
      </c>
      <c r="O17" s="14">
        <f>F17+J17+N17</f>
        <v>0.00107163</v>
      </c>
    </row>
    <row r="18" spans="1:15">
      <c r="A18" s="2"/>
      <c r="B18" s="2" t="s">
        <v>19</v>
      </c>
      <c r="C18" s="2">
        <v>9</v>
      </c>
      <c r="D18" s="11">
        <v>45</v>
      </c>
      <c r="E18" s="11">
        <v>31</v>
      </c>
      <c r="F18" s="4">
        <f t="shared" si="0"/>
        <v>0.012555</v>
      </c>
      <c r="G18" s="2">
        <v>9</v>
      </c>
      <c r="H18" s="11">
        <v>46</v>
      </c>
      <c r="I18" s="11">
        <v>29</v>
      </c>
      <c r="J18" s="4">
        <f t="shared" si="1"/>
        <v>0.012006</v>
      </c>
      <c r="K18" s="2">
        <v>9</v>
      </c>
      <c r="L18" s="11">
        <v>40</v>
      </c>
      <c r="M18" s="11">
        <v>31</v>
      </c>
      <c r="N18" s="4">
        <f t="shared" si="2"/>
        <v>0.01116</v>
      </c>
      <c r="O18" s="4">
        <v>0.0358</v>
      </c>
    </row>
    <row r="19" spans="1:15">
      <c r="A19" s="2"/>
      <c r="B19" s="2" t="s">
        <v>20</v>
      </c>
      <c r="C19" s="2">
        <v>1.27</v>
      </c>
      <c r="D19" s="11">
        <v>45</v>
      </c>
      <c r="E19" s="11">
        <v>31</v>
      </c>
      <c r="F19" s="4">
        <f t="shared" si="0"/>
        <v>0.00177165</v>
      </c>
      <c r="G19" s="2">
        <v>1.27</v>
      </c>
      <c r="H19" s="11">
        <v>46</v>
      </c>
      <c r="I19" s="11">
        <v>29</v>
      </c>
      <c r="J19" s="4">
        <f t="shared" si="1"/>
        <v>0.00169418</v>
      </c>
      <c r="K19" s="2">
        <v>1.27</v>
      </c>
      <c r="L19" s="11">
        <v>40</v>
      </c>
      <c r="M19" s="11">
        <v>31</v>
      </c>
      <c r="N19" s="4">
        <f t="shared" si="2"/>
        <v>0.0015748</v>
      </c>
      <c r="O19" s="4">
        <v>0.0051</v>
      </c>
    </row>
    <row r="20" spans="1:15">
      <c r="A20" s="2"/>
      <c r="B20" s="2" t="s">
        <v>21</v>
      </c>
      <c r="C20" s="2">
        <v>0.025</v>
      </c>
      <c r="D20" s="11">
        <v>45</v>
      </c>
      <c r="E20" s="11">
        <v>31</v>
      </c>
      <c r="F20" s="15">
        <f t="shared" si="0"/>
        <v>3.4875e-5</v>
      </c>
      <c r="G20" s="2">
        <v>0.025</v>
      </c>
      <c r="H20" s="11">
        <v>46</v>
      </c>
      <c r="I20" s="11">
        <v>29</v>
      </c>
      <c r="J20" s="15">
        <f t="shared" si="1"/>
        <v>3.335e-5</v>
      </c>
      <c r="K20" s="2">
        <v>0.025</v>
      </c>
      <c r="L20" s="11">
        <v>40</v>
      </c>
      <c r="M20" s="11">
        <v>31</v>
      </c>
      <c r="N20" s="15">
        <f t="shared" si="2"/>
        <v>3.1e-5</v>
      </c>
      <c r="O20" s="15">
        <f>N20+J20+F20</f>
        <v>9.9225e-5</v>
      </c>
    </row>
    <row r="21" spans="1:15">
      <c r="A21" s="2"/>
      <c r="B21" s="2" t="s">
        <v>22</v>
      </c>
      <c r="C21" s="2">
        <v>0.38</v>
      </c>
      <c r="D21" s="11">
        <v>45</v>
      </c>
      <c r="E21" s="11">
        <v>31</v>
      </c>
      <c r="F21" s="14">
        <f t="shared" si="0"/>
        <v>0.0005301</v>
      </c>
      <c r="G21" s="2">
        <v>0.38</v>
      </c>
      <c r="H21" s="11">
        <v>46</v>
      </c>
      <c r="I21" s="11">
        <v>29</v>
      </c>
      <c r="J21" s="14">
        <f t="shared" si="1"/>
        <v>0.00050692</v>
      </c>
      <c r="K21" s="2">
        <v>0.38</v>
      </c>
      <c r="L21" s="11">
        <v>40</v>
      </c>
      <c r="M21" s="11">
        <v>31</v>
      </c>
      <c r="N21" s="14">
        <f t="shared" si="2"/>
        <v>0.0004712</v>
      </c>
      <c r="O21" s="14">
        <f>F21+J21+N21</f>
        <v>0.00150822</v>
      </c>
    </row>
    <row r="22" spans="1:15">
      <c r="A22" s="2"/>
      <c r="B22" s="2" t="s">
        <v>23</v>
      </c>
      <c r="C22" s="2">
        <v>0.706</v>
      </c>
      <c r="D22" s="11">
        <v>45</v>
      </c>
      <c r="E22" s="11">
        <v>31</v>
      </c>
      <c r="F22" s="16">
        <f t="shared" si="0"/>
        <v>0.00098487</v>
      </c>
      <c r="G22" s="2">
        <v>0.706</v>
      </c>
      <c r="H22" s="11">
        <v>46</v>
      </c>
      <c r="I22" s="11">
        <v>29</v>
      </c>
      <c r="J22" s="16">
        <f t="shared" si="1"/>
        <v>0.000941804</v>
      </c>
      <c r="K22" s="2">
        <v>0.706</v>
      </c>
      <c r="L22" s="11">
        <v>40</v>
      </c>
      <c r="M22" s="11">
        <v>31</v>
      </c>
      <c r="N22" s="16">
        <f t="shared" si="2"/>
        <v>0.00087544</v>
      </c>
      <c r="O22" s="20">
        <f>N22+J22+F22</f>
        <v>0.002802114</v>
      </c>
    </row>
    <row r="23" spans="1:15">
      <c r="A23" s="2"/>
      <c r="B23" s="2" t="s">
        <v>24</v>
      </c>
      <c r="C23" s="2">
        <v>16</v>
      </c>
      <c r="D23" s="11">
        <v>45</v>
      </c>
      <c r="E23" s="11">
        <v>31</v>
      </c>
      <c r="F23" s="4">
        <f t="shared" si="0"/>
        <v>0.02232</v>
      </c>
      <c r="G23" s="2">
        <v>16</v>
      </c>
      <c r="H23" s="11">
        <v>46</v>
      </c>
      <c r="I23" s="11">
        <v>29</v>
      </c>
      <c r="J23" s="4">
        <f t="shared" si="1"/>
        <v>0.021344</v>
      </c>
      <c r="K23" s="2">
        <v>16</v>
      </c>
      <c r="L23" s="11">
        <v>40</v>
      </c>
      <c r="M23" s="11">
        <v>31</v>
      </c>
      <c r="N23" s="4">
        <f t="shared" si="2"/>
        <v>0.01984</v>
      </c>
      <c r="O23" s="4">
        <v>0.0634</v>
      </c>
    </row>
    <row r="24" spans="1:15">
      <c r="A24" s="2"/>
      <c r="B24" s="2" t="s">
        <v>25</v>
      </c>
      <c r="C24" s="2">
        <v>66.5</v>
      </c>
      <c r="D24" s="11">
        <v>45</v>
      </c>
      <c r="E24" s="11">
        <v>31</v>
      </c>
      <c r="F24" s="4">
        <f t="shared" si="0"/>
        <v>0.0927675</v>
      </c>
      <c r="G24" s="2">
        <v>66.5</v>
      </c>
      <c r="H24" s="11">
        <v>46</v>
      </c>
      <c r="I24" s="11">
        <v>29</v>
      </c>
      <c r="J24" s="4">
        <f t="shared" si="1"/>
        <v>0.088711</v>
      </c>
      <c r="K24" s="2">
        <v>66.5</v>
      </c>
      <c r="L24" s="11">
        <v>40</v>
      </c>
      <c r="M24" s="11">
        <v>31</v>
      </c>
      <c r="N24" s="4">
        <f t="shared" si="2"/>
        <v>0.08246</v>
      </c>
      <c r="O24" s="4">
        <v>0.264</v>
      </c>
    </row>
    <row r="25" spans="1:15">
      <c r="A25" s="2"/>
      <c r="B25" s="2" t="s">
        <v>26</v>
      </c>
      <c r="C25" s="2">
        <v>0.79</v>
      </c>
      <c r="D25" s="11">
        <v>45</v>
      </c>
      <c r="E25" s="11">
        <v>31</v>
      </c>
      <c r="F25" s="14">
        <f t="shared" si="0"/>
        <v>0.00110205</v>
      </c>
      <c r="G25" s="2">
        <v>0.79</v>
      </c>
      <c r="H25" s="11">
        <v>46</v>
      </c>
      <c r="I25" s="11">
        <v>29</v>
      </c>
      <c r="J25" s="14">
        <f t="shared" si="1"/>
        <v>0.00105386</v>
      </c>
      <c r="K25" s="2">
        <v>0.79</v>
      </c>
      <c r="L25" s="11">
        <v>40</v>
      </c>
      <c r="M25" s="11">
        <v>31</v>
      </c>
      <c r="N25" s="14">
        <f t="shared" si="2"/>
        <v>0.0009796</v>
      </c>
      <c r="O25" s="14">
        <v>0.00313</v>
      </c>
    </row>
    <row r="26" spans="1:15">
      <c r="A26" s="9"/>
      <c r="B26" s="9" t="s">
        <v>27</v>
      </c>
      <c r="C26" s="17">
        <v>7.1</v>
      </c>
      <c r="D26" s="18"/>
      <c r="E26" s="18"/>
      <c r="F26" s="19"/>
      <c r="G26" s="17">
        <v>7.1</v>
      </c>
      <c r="H26" s="18"/>
      <c r="I26" s="18"/>
      <c r="J26" s="19"/>
      <c r="K26" s="17">
        <v>7.1</v>
      </c>
      <c r="L26" s="18"/>
      <c r="M26" s="18"/>
      <c r="N26" s="19"/>
      <c r="O26" s="9"/>
    </row>
  </sheetData>
  <mergeCells count="10">
    <mergeCell ref="A3:O3"/>
    <mergeCell ref="C12:F12"/>
    <mergeCell ref="G12:J12"/>
    <mergeCell ref="K12:N12"/>
    <mergeCell ref="C26:F26"/>
    <mergeCell ref="G26:J26"/>
    <mergeCell ref="K26:N26"/>
    <mergeCell ref="A12:A13"/>
    <mergeCell ref="B12:B13"/>
    <mergeCell ref="O12:O13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Q35"/>
  <sheetViews>
    <sheetView tabSelected="1" topLeftCell="C2" workbookViewId="0">
      <selection activeCell="G8" sqref="G8"/>
    </sheetView>
  </sheetViews>
  <sheetFormatPr defaultColWidth="9" defaultRowHeight="13.5"/>
  <cols>
    <col min="5" max="5" width="7.5" customWidth="1"/>
    <col min="6" max="6" width="7.625" customWidth="1"/>
    <col min="9" max="9" width="7.25" customWidth="1"/>
    <col min="10" max="10" width="8.125" customWidth="1"/>
    <col min="12" max="12" width="9.25" customWidth="1"/>
    <col min="13" max="13" width="7.25" customWidth="1"/>
    <col min="14" max="14" width="7.75" customWidth="1"/>
    <col min="15" max="15" width="8" customWidth="1"/>
    <col min="16" max="16" width="8.375" customWidth="1"/>
    <col min="17" max="17" width="7.75" customWidth="1"/>
  </cols>
  <sheetData>
    <row r="2" ht="20.25" spans="3:17">
      <c r="C2" s="1" t="s">
        <v>28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3:17">
      <c r="C3" s="2" t="s">
        <v>6</v>
      </c>
      <c r="D3" s="2" t="s">
        <v>7</v>
      </c>
      <c r="E3" s="3" t="s">
        <v>8</v>
      </c>
      <c r="F3" s="3"/>
      <c r="G3" s="3"/>
      <c r="H3" s="3"/>
      <c r="I3" s="3" t="s">
        <v>9</v>
      </c>
      <c r="J3" s="3"/>
      <c r="K3" s="3"/>
      <c r="L3" s="3"/>
      <c r="M3" s="3" t="s">
        <v>10</v>
      </c>
      <c r="N3" s="3"/>
      <c r="O3" s="3"/>
      <c r="P3" s="3"/>
      <c r="Q3" s="7" t="s">
        <v>11</v>
      </c>
    </row>
    <row r="4" ht="31" customHeight="1" spans="3:17">
      <c r="C4" s="2"/>
      <c r="D4" s="2"/>
      <c r="E4" s="2" t="s">
        <v>29</v>
      </c>
      <c r="F4" s="2" t="s">
        <v>30</v>
      </c>
      <c r="G4" s="2" t="s">
        <v>31</v>
      </c>
      <c r="H4" s="2" t="s">
        <v>13</v>
      </c>
      <c r="I4" s="2" t="s">
        <v>29</v>
      </c>
      <c r="J4" s="2" t="s">
        <v>30</v>
      </c>
      <c r="K4" s="2" t="s">
        <v>31</v>
      </c>
      <c r="L4" s="2" t="s">
        <v>13</v>
      </c>
      <c r="M4" s="2" t="s">
        <v>29</v>
      </c>
      <c r="N4" s="2" t="s">
        <v>30</v>
      </c>
      <c r="O4" s="2" t="s">
        <v>31</v>
      </c>
      <c r="P4" s="2" t="s">
        <v>13</v>
      </c>
      <c r="Q4" s="7"/>
    </row>
    <row r="5" spans="3:17">
      <c r="C5" s="2" t="s">
        <v>32</v>
      </c>
      <c r="D5" s="2" t="s">
        <v>33</v>
      </c>
      <c r="E5" s="2">
        <v>3.3</v>
      </c>
      <c r="F5" s="2">
        <v>7737</v>
      </c>
      <c r="G5" s="2">
        <v>465</v>
      </c>
      <c r="H5" s="4">
        <f t="shared" ref="H5:H16" si="0">E5*F5*G5/1000000000</f>
        <v>0.0118724265</v>
      </c>
      <c r="I5" s="2">
        <v>3.3</v>
      </c>
      <c r="J5" s="2">
        <v>7737</v>
      </c>
      <c r="K5" s="2">
        <v>501</v>
      </c>
      <c r="L5" s="4">
        <f t="shared" ref="L5:L16" si="1">I5*J5*K5/1000000000</f>
        <v>0.0127915821</v>
      </c>
      <c r="M5" s="2">
        <v>3.3</v>
      </c>
      <c r="N5" s="2">
        <v>7737</v>
      </c>
      <c r="O5" s="2">
        <v>744</v>
      </c>
      <c r="P5" s="4">
        <f t="shared" ref="P5:P16" si="2">M5*N5*O5/1000000000</f>
        <v>0.0189958824</v>
      </c>
      <c r="Q5" s="8"/>
    </row>
    <row r="6" spans="3:17">
      <c r="C6" s="2" t="s">
        <v>34</v>
      </c>
      <c r="D6" s="2" t="s">
        <v>33</v>
      </c>
      <c r="E6" s="2">
        <v>2.5</v>
      </c>
      <c r="F6" s="2">
        <v>5981</v>
      </c>
      <c r="G6" s="2">
        <v>600</v>
      </c>
      <c r="H6" s="4">
        <f t="shared" si="0"/>
        <v>0.0089715</v>
      </c>
      <c r="I6" s="2">
        <v>2.5</v>
      </c>
      <c r="J6" s="2">
        <v>5981</v>
      </c>
      <c r="K6" s="2">
        <v>560</v>
      </c>
      <c r="L6" s="4">
        <f t="shared" si="1"/>
        <v>0.0083734</v>
      </c>
      <c r="M6" s="2">
        <v>2.5</v>
      </c>
      <c r="N6" s="2">
        <v>5981</v>
      </c>
      <c r="O6" s="2">
        <v>600</v>
      </c>
      <c r="P6" s="4">
        <f t="shared" si="2"/>
        <v>0.0089715</v>
      </c>
      <c r="Q6" s="8"/>
    </row>
    <row r="7" spans="3:17">
      <c r="C7" s="2" t="s">
        <v>35</v>
      </c>
      <c r="D7" s="2" t="s">
        <v>33</v>
      </c>
      <c r="E7" s="2">
        <v>2.8</v>
      </c>
      <c r="F7" s="2">
        <v>7955</v>
      </c>
      <c r="G7" s="2">
        <v>540</v>
      </c>
      <c r="H7" s="4">
        <f t="shared" si="0"/>
        <v>0.01202796</v>
      </c>
      <c r="I7" s="2">
        <v>2.8</v>
      </c>
      <c r="J7" s="2">
        <v>7955</v>
      </c>
      <c r="K7" s="2">
        <v>611</v>
      </c>
      <c r="L7" s="4">
        <f t="shared" si="1"/>
        <v>0.013609414</v>
      </c>
      <c r="M7" s="2">
        <v>2.8</v>
      </c>
      <c r="N7" s="2">
        <v>7955</v>
      </c>
      <c r="O7" s="2">
        <v>720</v>
      </c>
      <c r="P7" s="4">
        <f t="shared" si="2"/>
        <v>0.01603728</v>
      </c>
      <c r="Q7" s="8"/>
    </row>
    <row r="8" spans="3:17">
      <c r="C8" s="2" t="s">
        <v>36</v>
      </c>
      <c r="D8" s="2" t="s">
        <v>33</v>
      </c>
      <c r="E8" s="2">
        <v>3.2</v>
      </c>
      <c r="F8" s="2">
        <v>7010</v>
      </c>
      <c r="G8" s="2">
        <v>700</v>
      </c>
      <c r="H8" s="4">
        <f t="shared" si="0"/>
        <v>0.0157024</v>
      </c>
      <c r="I8" s="2">
        <v>3.2</v>
      </c>
      <c r="J8" s="2">
        <v>7010</v>
      </c>
      <c r="K8" s="2">
        <v>640</v>
      </c>
      <c r="L8" s="4">
        <f t="shared" si="1"/>
        <v>0.01435648</v>
      </c>
      <c r="M8" s="2">
        <v>3.2</v>
      </c>
      <c r="N8" s="2">
        <v>7010</v>
      </c>
      <c r="O8" s="2">
        <v>688</v>
      </c>
      <c r="P8" s="4">
        <f t="shared" si="2"/>
        <v>0.015433216</v>
      </c>
      <c r="Q8" s="8"/>
    </row>
    <row r="9" spans="3:17">
      <c r="C9" s="2" t="s">
        <v>37</v>
      </c>
      <c r="D9" s="2" t="s">
        <v>33</v>
      </c>
      <c r="E9" s="2">
        <v>3.5</v>
      </c>
      <c r="F9" s="2">
        <v>4444</v>
      </c>
      <c r="G9" s="2">
        <v>700</v>
      </c>
      <c r="H9" s="4">
        <f t="shared" si="0"/>
        <v>0.0108878</v>
      </c>
      <c r="I9" s="2">
        <v>3.5</v>
      </c>
      <c r="J9" s="2">
        <v>4444</v>
      </c>
      <c r="K9" s="2">
        <v>640</v>
      </c>
      <c r="L9" s="4">
        <f t="shared" si="1"/>
        <v>0.00995456</v>
      </c>
      <c r="M9" s="2">
        <v>3.5</v>
      </c>
      <c r="N9" s="2">
        <v>4444</v>
      </c>
      <c r="O9" s="2">
        <v>688</v>
      </c>
      <c r="P9" s="4">
        <f t="shared" si="2"/>
        <v>0.010701152</v>
      </c>
      <c r="Q9" s="8"/>
    </row>
    <row r="10" spans="3:17">
      <c r="C10" s="2" t="s">
        <v>38</v>
      </c>
      <c r="D10" s="2" t="s">
        <v>33</v>
      </c>
      <c r="E10" s="2">
        <v>3</v>
      </c>
      <c r="F10" s="2">
        <v>16686</v>
      </c>
      <c r="G10" s="2">
        <v>480</v>
      </c>
      <c r="H10" s="4">
        <f t="shared" si="0"/>
        <v>0.02402784</v>
      </c>
      <c r="I10" s="2">
        <v>3</v>
      </c>
      <c r="J10" s="2">
        <v>16686</v>
      </c>
      <c r="K10" s="2">
        <v>464</v>
      </c>
      <c r="L10" s="4">
        <f t="shared" si="1"/>
        <v>0.023226912</v>
      </c>
      <c r="M10" s="2">
        <v>3</v>
      </c>
      <c r="N10" s="2">
        <v>16686</v>
      </c>
      <c r="O10" s="2">
        <v>496</v>
      </c>
      <c r="P10" s="4">
        <f t="shared" si="2"/>
        <v>0.024828768</v>
      </c>
      <c r="Q10" s="8"/>
    </row>
    <row r="11" spans="3:17">
      <c r="C11" s="2" t="s">
        <v>39</v>
      </c>
      <c r="D11" s="2" t="s">
        <v>33</v>
      </c>
      <c r="E11" s="2">
        <v>2.6</v>
      </c>
      <c r="F11" s="2">
        <v>14267</v>
      </c>
      <c r="G11" s="2">
        <v>240</v>
      </c>
      <c r="H11" s="4">
        <f t="shared" si="0"/>
        <v>0.008902608</v>
      </c>
      <c r="I11" s="2">
        <v>2.6</v>
      </c>
      <c r="J11" s="2">
        <v>14267</v>
      </c>
      <c r="K11" s="2">
        <v>232</v>
      </c>
      <c r="L11" s="4">
        <f t="shared" si="1"/>
        <v>0.0086058544</v>
      </c>
      <c r="M11" s="2">
        <v>2.6</v>
      </c>
      <c r="N11" s="2">
        <v>14267</v>
      </c>
      <c r="O11" s="2">
        <v>248</v>
      </c>
      <c r="P11" s="4">
        <f t="shared" si="2"/>
        <v>0.0091993616</v>
      </c>
      <c r="Q11" s="8"/>
    </row>
    <row r="12" spans="3:17">
      <c r="C12" s="2" t="s">
        <v>40</v>
      </c>
      <c r="D12" s="2" t="s">
        <v>33</v>
      </c>
      <c r="E12" s="2">
        <v>8.7</v>
      </c>
      <c r="F12" s="2">
        <v>10661</v>
      </c>
      <c r="G12" s="2">
        <v>480</v>
      </c>
      <c r="H12" s="4">
        <f t="shared" si="0"/>
        <v>0.044520336</v>
      </c>
      <c r="I12" s="2">
        <v>8.7</v>
      </c>
      <c r="J12" s="2">
        <v>10661</v>
      </c>
      <c r="K12" s="2">
        <v>464</v>
      </c>
      <c r="L12" s="4">
        <f t="shared" si="1"/>
        <v>0.0430363248</v>
      </c>
      <c r="M12" s="2">
        <v>8.7</v>
      </c>
      <c r="N12" s="2">
        <v>10661</v>
      </c>
      <c r="O12" s="2">
        <v>496</v>
      </c>
      <c r="P12" s="4">
        <f t="shared" si="2"/>
        <v>0.0460043472</v>
      </c>
      <c r="Q12" s="8"/>
    </row>
    <row r="13" spans="3:17">
      <c r="C13" s="2" t="s">
        <v>41</v>
      </c>
      <c r="D13" s="2" t="s">
        <v>33</v>
      </c>
      <c r="E13" s="2">
        <v>1.5</v>
      </c>
      <c r="F13" s="2">
        <v>15592</v>
      </c>
      <c r="G13" s="2">
        <v>248</v>
      </c>
      <c r="H13" s="4">
        <f t="shared" si="0"/>
        <v>0.005800224</v>
      </c>
      <c r="I13" s="2">
        <v>1.5</v>
      </c>
      <c r="J13" s="2">
        <v>15592</v>
      </c>
      <c r="K13" s="2">
        <v>232</v>
      </c>
      <c r="L13" s="4">
        <f t="shared" si="1"/>
        <v>0.005426016</v>
      </c>
      <c r="M13" s="2">
        <v>1.5</v>
      </c>
      <c r="N13" s="2">
        <v>15592</v>
      </c>
      <c r="O13" s="2">
        <v>248</v>
      </c>
      <c r="P13" s="4">
        <f t="shared" si="2"/>
        <v>0.005800224</v>
      </c>
      <c r="Q13" s="8"/>
    </row>
    <row r="14" spans="3:17">
      <c r="C14" s="2" t="s">
        <v>42</v>
      </c>
      <c r="D14" s="2" t="s">
        <v>33</v>
      </c>
      <c r="E14" s="2">
        <v>2.5</v>
      </c>
      <c r="F14" s="2">
        <v>15011</v>
      </c>
      <c r="G14" s="2">
        <v>279</v>
      </c>
      <c r="H14" s="4">
        <f t="shared" si="0"/>
        <v>0.0104701725</v>
      </c>
      <c r="I14" s="2">
        <v>2.5</v>
      </c>
      <c r="J14" s="2">
        <v>15011</v>
      </c>
      <c r="K14" s="2">
        <v>261</v>
      </c>
      <c r="L14" s="4">
        <f t="shared" si="1"/>
        <v>0.0097946775</v>
      </c>
      <c r="M14" s="2">
        <v>2.5</v>
      </c>
      <c r="N14" s="2">
        <v>15011</v>
      </c>
      <c r="O14" s="2">
        <v>275</v>
      </c>
      <c r="P14" s="4">
        <f t="shared" si="2"/>
        <v>0.0103200625</v>
      </c>
      <c r="Q14" s="8"/>
    </row>
    <row r="15" spans="3:17">
      <c r="C15" s="3" t="s">
        <v>43</v>
      </c>
      <c r="D15" s="2" t="s">
        <v>33</v>
      </c>
      <c r="E15" s="2">
        <v>2.8</v>
      </c>
      <c r="F15" s="2">
        <v>735</v>
      </c>
      <c r="G15" s="2">
        <v>496</v>
      </c>
      <c r="H15" s="4">
        <f>E15*F15*G15/1000000000</f>
        <v>0.001020768</v>
      </c>
      <c r="I15" s="2">
        <v>2.8</v>
      </c>
      <c r="J15" s="2">
        <v>735</v>
      </c>
      <c r="K15" s="2">
        <v>480</v>
      </c>
      <c r="L15" s="4">
        <f t="shared" si="1"/>
        <v>0.00098784</v>
      </c>
      <c r="M15" s="2">
        <v>2.8</v>
      </c>
      <c r="N15" s="2">
        <v>735</v>
      </c>
      <c r="O15" s="2">
        <v>496</v>
      </c>
      <c r="P15" s="4">
        <f t="shared" si="2"/>
        <v>0.001020768</v>
      </c>
      <c r="Q15" s="8"/>
    </row>
    <row r="16" spans="3:17">
      <c r="C16" s="3" t="s">
        <v>44</v>
      </c>
      <c r="D16" s="2" t="s">
        <v>33</v>
      </c>
      <c r="E16" s="2"/>
      <c r="F16" s="2"/>
      <c r="G16" s="2"/>
      <c r="H16" s="4">
        <f t="shared" si="0"/>
        <v>0</v>
      </c>
      <c r="I16" s="2"/>
      <c r="J16" s="2"/>
      <c r="K16" s="2"/>
      <c r="L16" s="4">
        <f t="shared" si="1"/>
        <v>0</v>
      </c>
      <c r="M16" s="2"/>
      <c r="N16" s="2"/>
      <c r="O16" s="2"/>
      <c r="P16" s="4">
        <f t="shared" si="2"/>
        <v>0</v>
      </c>
      <c r="Q16" s="8"/>
    </row>
    <row r="17" spans="3:17">
      <c r="C17" s="3" t="s">
        <v>45</v>
      </c>
      <c r="D17" s="5"/>
      <c r="E17" s="2"/>
      <c r="F17" s="2"/>
      <c r="G17" s="2"/>
      <c r="H17" s="4">
        <f>SUM(H5:H16)</f>
        <v>0.154204035</v>
      </c>
      <c r="I17" s="2"/>
      <c r="J17" s="2"/>
      <c r="K17" s="2"/>
      <c r="L17" s="4">
        <f>SUM(L5:L16)</f>
        <v>0.1501630608</v>
      </c>
      <c r="M17" s="2"/>
      <c r="N17" s="2"/>
      <c r="O17" s="2"/>
      <c r="P17" s="4">
        <f>SUM(P5:P16)</f>
        <v>0.1673125617</v>
      </c>
      <c r="Q17" s="8">
        <f>SUM(H17+L17+P17)</f>
        <v>0.4716796575</v>
      </c>
    </row>
    <row r="18" spans="3:17">
      <c r="C18" s="2" t="s">
        <v>37</v>
      </c>
      <c r="D18" s="3" t="s">
        <v>46</v>
      </c>
      <c r="E18" s="3">
        <v>26</v>
      </c>
      <c r="F18" s="2">
        <v>4444</v>
      </c>
      <c r="G18" s="3">
        <v>700</v>
      </c>
      <c r="H18" s="6">
        <f t="shared" ref="H18:H22" si="3">E18*F18*G18/1000000000</f>
        <v>0.0808808</v>
      </c>
      <c r="I18" s="3">
        <v>26</v>
      </c>
      <c r="J18" s="2">
        <v>4444</v>
      </c>
      <c r="K18" s="3">
        <v>640</v>
      </c>
      <c r="L18" s="6">
        <f>SUM(L5:L16)</f>
        <v>0.1501630608</v>
      </c>
      <c r="M18" s="3">
        <v>26</v>
      </c>
      <c r="N18" s="2">
        <v>4444</v>
      </c>
      <c r="O18" s="3">
        <v>688</v>
      </c>
      <c r="P18" s="6">
        <f>SUM(P5:P16)</f>
        <v>0.1673125617</v>
      </c>
      <c r="Q18" s="8"/>
    </row>
    <row r="19" spans="3:17">
      <c r="C19" s="3" t="s">
        <v>43</v>
      </c>
      <c r="D19" s="3" t="s">
        <v>46</v>
      </c>
      <c r="E19" s="3">
        <v>27</v>
      </c>
      <c r="F19" s="2">
        <v>996</v>
      </c>
      <c r="G19" s="2">
        <v>496</v>
      </c>
      <c r="H19" s="6">
        <f t="shared" si="3"/>
        <v>0.013338432</v>
      </c>
      <c r="I19" s="3">
        <v>47</v>
      </c>
      <c r="J19" s="2">
        <v>746</v>
      </c>
      <c r="K19" s="2">
        <v>496</v>
      </c>
      <c r="L19" s="6">
        <f t="shared" ref="L19:L22" si="4">I19*J19*K19/1000000000</f>
        <v>0.017390752</v>
      </c>
      <c r="M19" s="3">
        <v>46</v>
      </c>
      <c r="N19" s="2">
        <v>922</v>
      </c>
      <c r="O19" s="2">
        <v>496</v>
      </c>
      <c r="P19" s="6">
        <f t="shared" ref="P19:P22" si="5">M19*N19*O19/1000000000</f>
        <v>0.021036352</v>
      </c>
      <c r="Q19" s="8"/>
    </row>
    <row r="20" spans="3:17">
      <c r="C20" s="3" t="s">
        <v>44</v>
      </c>
      <c r="D20" s="3" t="s">
        <v>46</v>
      </c>
      <c r="E20" s="3"/>
      <c r="F20" s="2"/>
      <c r="G20" s="2"/>
      <c r="H20" s="6">
        <f t="shared" si="3"/>
        <v>0</v>
      </c>
      <c r="I20" s="3"/>
      <c r="J20" s="2"/>
      <c r="K20" s="2"/>
      <c r="L20" s="6">
        <f t="shared" si="4"/>
        <v>0</v>
      </c>
      <c r="M20" s="3"/>
      <c r="N20" s="2"/>
      <c r="O20" s="2"/>
      <c r="P20" s="6">
        <f t="shared" si="5"/>
        <v>0</v>
      </c>
      <c r="Q20" s="8"/>
    </row>
    <row r="21" spans="3:17">
      <c r="C21" s="3" t="s">
        <v>47</v>
      </c>
      <c r="D21" s="3" t="s">
        <v>46</v>
      </c>
      <c r="E21" s="7"/>
      <c r="F21" s="7"/>
      <c r="G21" s="2"/>
      <c r="H21" s="6">
        <f t="shared" si="3"/>
        <v>0</v>
      </c>
      <c r="I21" s="7"/>
      <c r="J21" s="7"/>
      <c r="K21" s="2"/>
      <c r="L21" s="6"/>
      <c r="M21" s="7"/>
      <c r="N21" s="7"/>
      <c r="O21" s="2"/>
      <c r="P21" s="6"/>
      <c r="Q21" s="8"/>
    </row>
    <row r="22" spans="3:17">
      <c r="C22" s="3" t="s">
        <v>48</v>
      </c>
      <c r="D22" s="3" t="s">
        <v>46</v>
      </c>
      <c r="E22" s="7">
        <v>26</v>
      </c>
      <c r="F22" s="7">
        <v>7911</v>
      </c>
      <c r="G22" s="3">
        <v>496</v>
      </c>
      <c r="H22" s="6">
        <f t="shared" si="3"/>
        <v>0.102020256</v>
      </c>
      <c r="I22" s="7">
        <v>26</v>
      </c>
      <c r="J22" s="7">
        <v>7911</v>
      </c>
      <c r="K22" s="3">
        <v>480</v>
      </c>
      <c r="L22" s="6">
        <f t="shared" si="4"/>
        <v>0.09872928</v>
      </c>
      <c r="M22" s="7">
        <v>26</v>
      </c>
      <c r="N22" s="7">
        <v>7911</v>
      </c>
      <c r="O22" s="3">
        <v>496</v>
      </c>
      <c r="P22" s="6">
        <f t="shared" si="5"/>
        <v>0.102020256</v>
      </c>
      <c r="Q22" s="8"/>
    </row>
    <row r="23" spans="3:17">
      <c r="C23" s="2" t="s">
        <v>45</v>
      </c>
      <c r="D23" s="3"/>
      <c r="E23" s="3"/>
      <c r="F23" s="3"/>
      <c r="G23" s="2"/>
      <c r="H23" s="6">
        <f>SUM(H18:H22)</f>
        <v>0.196239488</v>
      </c>
      <c r="I23" s="3"/>
      <c r="J23" s="3"/>
      <c r="K23" s="2"/>
      <c r="L23" s="6">
        <f>SUM(L18:L22)</f>
        <v>0.2662830928</v>
      </c>
      <c r="M23" s="3"/>
      <c r="N23" s="3"/>
      <c r="O23" s="2"/>
      <c r="P23" s="6">
        <f>SUM(P18:P22)</f>
        <v>0.2903691697</v>
      </c>
      <c r="Q23" s="8">
        <f>SUM(H23+L23+P23)</f>
        <v>0.7528917505</v>
      </c>
    </row>
    <row r="24" spans="3:17">
      <c r="C24" s="2" t="s">
        <v>37</v>
      </c>
      <c r="D24" s="3" t="s">
        <v>49</v>
      </c>
      <c r="E24" s="3">
        <v>1.5</v>
      </c>
      <c r="F24" s="2">
        <v>4444</v>
      </c>
      <c r="G24" s="2">
        <v>700</v>
      </c>
      <c r="H24" s="6">
        <f t="shared" ref="H24:H26" si="6">E24*F24*G24/1000000000</f>
        <v>0.0046662</v>
      </c>
      <c r="I24" s="3">
        <v>1.5</v>
      </c>
      <c r="J24" s="2">
        <v>4444</v>
      </c>
      <c r="K24" s="2">
        <v>640</v>
      </c>
      <c r="L24" s="6">
        <f t="shared" ref="L24:L26" si="7">I24*J24*K24/1000000000</f>
        <v>0.00426624</v>
      </c>
      <c r="M24" s="3">
        <v>1.5</v>
      </c>
      <c r="N24" s="2">
        <v>4444</v>
      </c>
      <c r="O24" s="2">
        <v>688</v>
      </c>
      <c r="P24" s="6">
        <f t="shared" ref="P24:P26" si="8">M24*N24*O24/1000000000</f>
        <v>0.004586208</v>
      </c>
      <c r="Q24" s="8"/>
    </row>
    <row r="25" spans="3:17">
      <c r="C25" s="3" t="s">
        <v>43</v>
      </c>
      <c r="D25" s="3" t="s">
        <v>49</v>
      </c>
      <c r="E25" s="3">
        <v>1.5</v>
      </c>
      <c r="F25" s="2">
        <v>735</v>
      </c>
      <c r="G25" s="2">
        <v>496</v>
      </c>
      <c r="H25" s="6">
        <f t="shared" si="6"/>
        <v>0.00054684</v>
      </c>
      <c r="I25" s="3">
        <v>1.5</v>
      </c>
      <c r="J25" s="2">
        <v>735</v>
      </c>
      <c r="K25" s="2">
        <v>480</v>
      </c>
      <c r="L25" s="6">
        <f t="shared" si="7"/>
        <v>0.0005292</v>
      </c>
      <c r="M25" s="3">
        <v>1.5</v>
      </c>
      <c r="N25" s="2">
        <v>735</v>
      </c>
      <c r="O25" s="2">
        <v>496</v>
      </c>
      <c r="P25" s="6">
        <f t="shared" si="8"/>
        <v>0.00054684</v>
      </c>
      <c r="Q25" s="8"/>
    </row>
    <row r="26" spans="3:17">
      <c r="C26" s="3" t="s">
        <v>44</v>
      </c>
      <c r="D26" s="3" t="s">
        <v>49</v>
      </c>
      <c r="E26" s="3"/>
      <c r="F26" s="2"/>
      <c r="G26" s="2"/>
      <c r="H26" s="6">
        <f t="shared" si="6"/>
        <v>0</v>
      </c>
      <c r="I26" s="3"/>
      <c r="J26" s="2"/>
      <c r="K26" s="2"/>
      <c r="L26" s="6">
        <f t="shared" si="7"/>
        <v>0</v>
      </c>
      <c r="M26" s="3"/>
      <c r="N26" s="2"/>
      <c r="O26" s="2"/>
      <c r="P26" s="6">
        <f t="shared" si="8"/>
        <v>0</v>
      </c>
      <c r="Q26" s="8"/>
    </row>
    <row r="27" spans="3:17">
      <c r="C27" s="3" t="s">
        <v>45</v>
      </c>
      <c r="D27" s="3"/>
      <c r="E27" s="3"/>
      <c r="F27" s="3"/>
      <c r="G27" s="2"/>
      <c r="H27" s="6">
        <f>SUM(H24:H26)</f>
        <v>0.00521304</v>
      </c>
      <c r="I27" s="3"/>
      <c r="J27" s="3"/>
      <c r="K27" s="2"/>
      <c r="L27" s="6">
        <f>SUM(L24:L26)</f>
        <v>0.00479544</v>
      </c>
      <c r="M27" s="3"/>
      <c r="N27" s="3"/>
      <c r="O27" s="2"/>
      <c r="P27" s="6">
        <f>SUM(P24:P26)</f>
        <v>0.005133048</v>
      </c>
      <c r="Q27" s="8">
        <f>SUM(H27+L27+P27)</f>
        <v>0.015141528</v>
      </c>
    </row>
    <row r="28" spans="3:17">
      <c r="C28" s="7" t="s">
        <v>50</v>
      </c>
      <c r="D28" s="7" t="s">
        <v>51</v>
      </c>
      <c r="E28" s="7">
        <v>2.95</v>
      </c>
      <c r="F28" s="7">
        <v>4858</v>
      </c>
      <c r="G28" s="3">
        <v>240</v>
      </c>
      <c r="H28" s="6">
        <f t="shared" ref="H28:H32" si="9">E28*F28*G28/1000000000</f>
        <v>0.003439464</v>
      </c>
      <c r="I28" s="7">
        <v>2.95</v>
      </c>
      <c r="J28" s="7">
        <v>4858</v>
      </c>
      <c r="K28" s="3">
        <v>226</v>
      </c>
      <c r="L28" s="6">
        <f>SUM(L24:L26)</f>
        <v>0.00479544</v>
      </c>
      <c r="M28" s="7">
        <v>2.95</v>
      </c>
      <c r="N28" s="7">
        <v>4858</v>
      </c>
      <c r="O28" s="3">
        <v>270</v>
      </c>
      <c r="P28" s="6">
        <f>O28*N28*M28/1000000000</f>
        <v>0.003869397</v>
      </c>
      <c r="Q28" s="8"/>
    </row>
    <row r="29" spans="3:17">
      <c r="C29" s="7" t="s">
        <v>37</v>
      </c>
      <c r="D29" s="7" t="s">
        <v>51</v>
      </c>
      <c r="E29" s="7">
        <v>43.8</v>
      </c>
      <c r="F29" s="2">
        <v>4444</v>
      </c>
      <c r="G29" s="7">
        <v>700</v>
      </c>
      <c r="H29" s="6">
        <f t="shared" si="9"/>
        <v>0.13625304</v>
      </c>
      <c r="I29" s="7">
        <v>43.8</v>
      </c>
      <c r="J29" s="2">
        <v>4444</v>
      </c>
      <c r="K29" s="7">
        <v>640</v>
      </c>
      <c r="L29" s="8">
        <f>I29*J29*K29/1000000000</f>
        <v>0.124574208</v>
      </c>
      <c r="M29" s="7">
        <v>43.8</v>
      </c>
      <c r="N29" s="2">
        <v>4444</v>
      </c>
      <c r="O29" s="7">
        <v>688</v>
      </c>
      <c r="P29" s="8">
        <f>M29*N29*O29/1000000000</f>
        <v>0.1339172736</v>
      </c>
      <c r="Q29" s="8"/>
    </row>
    <row r="30" spans="3:17">
      <c r="C30" s="3" t="s">
        <v>45</v>
      </c>
      <c r="D30" s="7"/>
      <c r="E30" s="7"/>
      <c r="F30" s="7"/>
      <c r="G30" s="7"/>
      <c r="H30" s="8">
        <f>SUM(H28:H29)</f>
        <v>0.139692504</v>
      </c>
      <c r="I30" s="7"/>
      <c r="J30" s="7"/>
      <c r="K30" s="7"/>
      <c r="L30" s="8">
        <f>SUM(L28:L29)</f>
        <v>0.129369648</v>
      </c>
      <c r="M30" s="7"/>
      <c r="N30" s="7"/>
      <c r="O30" s="7"/>
      <c r="P30" s="8">
        <f>SUM(P28:P29)</f>
        <v>0.1377866706</v>
      </c>
      <c r="Q30" s="8">
        <v>0.4069</v>
      </c>
    </row>
    <row r="31" spans="3:17">
      <c r="C31" s="3" t="s">
        <v>47</v>
      </c>
      <c r="D31" s="3" t="s">
        <v>20</v>
      </c>
      <c r="E31" s="7">
        <v>3.81</v>
      </c>
      <c r="F31" s="7">
        <v>1686</v>
      </c>
      <c r="G31" s="7">
        <v>496</v>
      </c>
      <c r="H31" s="8">
        <f t="shared" si="9"/>
        <v>0.00318613536</v>
      </c>
      <c r="I31" s="7">
        <v>3.81</v>
      </c>
      <c r="J31" s="7">
        <v>1686</v>
      </c>
      <c r="K31" s="7">
        <v>480</v>
      </c>
      <c r="L31" s="8">
        <f>I31*J31*K31/1000000000</f>
        <v>0.0030833568</v>
      </c>
      <c r="M31" s="7">
        <v>3.81</v>
      </c>
      <c r="N31" s="7">
        <v>1686</v>
      </c>
      <c r="O31" s="7">
        <v>496</v>
      </c>
      <c r="P31" s="8">
        <f>M31*N31*O31/1000000000</f>
        <v>0.00318613536</v>
      </c>
      <c r="Q31" s="8"/>
    </row>
    <row r="32" spans="3:17">
      <c r="C32" s="3" t="s">
        <v>48</v>
      </c>
      <c r="D32" s="3" t="s">
        <v>20</v>
      </c>
      <c r="E32" s="7">
        <v>3.21</v>
      </c>
      <c r="F32" s="7">
        <v>7911</v>
      </c>
      <c r="G32" s="7">
        <v>496</v>
      </c>
      <c r="H32" s="8">
        <f t="shared" si="9"/>
        <v>0.01259557776</v>
      </c>
      <c r="I32" s="7">
        <v>3.21</v>
      </c>
      <c r="J32" s="7">
        <v>7911</v>
      </c>
      <c r="K32" s="7">
        <v>480</v>
      </c>
      <c r="L32" s="8">
        <f>I32*J32*K32/1000000000</f>
        <v>0.0121892688</v>
      </c>
      <c r="M32" s="7">
        <v>3.21</v>
      </c>
      <c r="N32" s="7">
        <v>7911</v>
      </c>
      <c r="O32" s="7">
        <v>496</v>
      </c>
      <c r="P32" s="8">
        <f>M32*N32*O32/1000000000</f>
        <v>0.01259557776</v>
      </c>
      <c r="Q32" s="8"/>
    </row>
    <row r="33" spans="3:17">
      <c r="C33" s="3" t="s">
        <v>52</v>
      </c>
      <c r="D33" s="7"/>
      <c r="E33" s="7"/>
      <c r="F33" s="7"/>
      <c r="G33" s="7"/>
      <c r="H33" s="8">
        <f>SUM(H31:H32)</f>
        <v>0.01578171312</v>
      </c>
      <c r="I33" s="7"/>
      <c r="J33" s="7"/>
      <c r="K33" s="7"/>
      <c r="L33" s="8">
        <f>SUM(L31:L32)</f>
        <v>0.0152726256</v>
      </c>
      <c r="M33" s="7"/>
      <c r="N33" s="7"/>
      <c r="O33" s="7"/>
      <c r="P33" s="8">
        <f>SUM(P31:P32)</f>
        <v>0.01578171312</v>
      </c>
      <c r="Q33" s="8">
        <v>0.0469</v>
      </c>
    </row>
    <row r="34" spans="3:17">
      <c r="C34" s="3" t="s">
        <v>48</v>
      </c>
      <c r="D34" s="3" t="s">
        <v>53</v>
      </c>
      <c r="E34" s="7">
        <v>4.1</v>
      </c>
      <c r="F34" s="7">
        <v>7911</v>
      </c>
      <c r="G34" s="7">
        <v>496</v>
      </c>
      <c r="H34" s="8">
        <f>E34*F34*G34/1000000000</f>
        <v>0.0160878096</v>
      </c>
      <c r="I34" s="7">
        <v>4.1</v>
      </c>
      <c r="J34" s="7">
        <v>7911</v>
      </c>
      <c r="K34" s="7">
        <v>480</v>
      </c>
      <c r="L34" s="8">
        <f>I34*J34*K34/1000000000</f>
        <v>0.015568848</v>
      </c>
      <c r="M34" s="7">
        <v>4.1</v>
      </c>
      <c r="N34" s="7">
        <v>7911</v>
      </c>
      <c r="O34" s="7">
        <v>496</v>
      </c>
      <c r="P34" s="8">
        <f>M34*N34*O34/1000000000</f>
        <v>0.0160878096</v>
      </c>
      <c r="Q34" s="8"/>
    </row>
    <row r="35" spans="3:17">
      <c r="C35" s="3" t="s">
        <v>45</v>
      </c>
      <c r="D35" s="3"/>
      <c r="E35" s="7"/>
      <c r="F35" s="7"/>
      <c r="G35" s="7"/>
      <c r="H35" s="8">
        <f>SUM(H34:H34)</f>
        <v>0.0160878096</v>
      </c>
      <c r="I35" s="7"/>
      <c r="J35" s="7"/>
      <c r="K35" s="7"/>
      <c r="L35" s="8">
        <f>SUM(L34:L34)</f>
        <v>0.015568848</v>
      </c>
      <c r="M35" s="7"/>
      <c r="N35" s="7"/>
      <c r="O35" s="7"/>
      <c r="P35" s="8">
        <f>SUM(P34:P34)</f>
        <v>0.0160878096</v>
      </c>
      <c r="Q35" s="8">
        <v>0.0478</v>
      </c>
    </row>
  </sheetData>
  <mergeCells count="6">
    <mergeCell ref="C2:Q2"/>
    <mergeCell ref="E3:H3"/>
    <mergeCell ref="I3:L3"/>
    <mergeCell ref="M3:P3"/>
    <mergeCell ref="C3:C4"/>
    <mergeCell ref="D3:D4"/>
  </mergeCells>
  <pageMargins left="0.306944444444444" right="0.306944444444444" top="0.357638888888889" bottom="0.357638888888889" header="0.298611111111111" footer="0.29861111111111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废水</vt:lpstr>
      <vt:lpstr>废气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张岩</cp:lastModifiedBy>
  <dcterms:created xsi:type="dcterms:W3CDTF">2021-08-12T05:42:00Z</dcterms:created>
  <dcterms:modified xsi:type="dcterms:W3CDTF">2024-01-10T05:30:50Z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  <property fmtid="{D5CDD505-2E9C-101B-9397-08002B2CF9AE}" pid="3" name="ICV">
    <vt:lpwstr>ABFA383FE37E413BB80DDC4427B60B8F</vt:lpwstr>
  </property>
</Properties>
</file>