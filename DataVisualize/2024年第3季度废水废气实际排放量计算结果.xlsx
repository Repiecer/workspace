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废水" sheetId="1" state="visible" r:id="rId1"/>
    <sheet name="废气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<sst xmlns="http://schemas.openxmlformats.org/spreadsheetml/2006/main" count="56" uniqueCount="56">
  <si>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2024年第3季度废水实际排放量计算结果</t>
  </si>
  <si>
    <t>月份</t>
  </si>
  <si>
    <t>用水量m³</t>
  </si>
  <si>
    <t>排放量m³</t>
  </si>
  <si>
    <t>累计运行时间d</t>
  </si>
  <si>
    <t>流量m³/d</t>
  </si>
  <si>
    <t>排放口</t>
  </si>
  <si>
    <t>污染物名称</t>
  </si>
  <si>
    <t>7月</t>
  </si>
  <si>
    <t>8月</t>
  </si>
  <si>
    <t>9月</t>
  </si>
  <si>
    <t>合计</t>
  </si>
  <si>
    <t>浓度mg/L</t>
  </si>
  <si>
    <t>实际排放量t</t>
  </si>
  <si>
    <t>总排放口</t>
  </si>
  <si>
    <t>COD</t>
  </si>
  <si>
    <t>氨氮</t>
  </si>
  <si>
    <t>六价铬</t>
  </si>
  <si>
    <t>石油类</t>
  </si>
  <si>
    <t>悬浮物</t>
  </si>
  <si>
    <t>氟化物</t>
  </si>
  <si>
    <t>铅</t>
  </si>
  <si>
    <t>镍</t>
  </si>
  <si>
    <t>铬</t>
  </si>
  <si>
    <t>BOD5</t>
  </si>
  <si>
    <t>总氮</t>
  </si>
  <si>
    <t>总磷</t>
  </si>
  <si>
    <t>Ph</t>
  </si>
  <si>
    <t>废水排放量m³</t>
  </si>
  <si>
    <t>污染物排放量t</t>
  </si>
  <si>
    <t>2024年第3季度废气实际排放量计算结果</t>
  </si>
  <si>
    <t>浓度mg/m³</t>
  </si>
  <si>
    <t>排气量m³/h</t>
  </si>
  <si>
    <t>累计运行时间h</t>
  </si>
  <si>
    <t>背层</t>
  </si>
  <si>
    <t>颗粒物</t>
  </si>
  <si>
    <t>面层</t>
  </si>
  <si>
    <t>面层二层</t>
  </si>
  <si>
    <t>中频炉</t>
  </si>
  <si>
    <t>焙烧炉</t>
  </si>
  <si>
    <t>切割</t>
  </si>
  <si>
    <t>喷砂北</t>
  </si>
  <si>
    <t>喷砂南</t>
  </si>
  <si>
    <t>精磨</t>
  </si>
  <si>
    <t>抛光</t>
  </si>
  <si>
    <t>燃气锅炉</t>
  </si>
  <si>
    <t>真空热水锅炉</t>
  </si>
  <si>
    <t>总计</t>
  </si>
  <si>
    <t>NOX</t>
  </si>
  <si>
    <t>装配酸雾塔</t>
  </si>
  <si>
    <t>后整理酸雾塔</t>
  </si>
  <si>
    <t>SO2</t>
  </si>
  <si>
    <t>组树</t>
  </si>
  <si>
    <t>VOC</t>
  </si>
  <si>
    <t>小计</t>
  </si>
  <si>
    <t>氯化氢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</si>
</sst>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  <numFmt numFmtId="168" formatCode="0;[Red]0"/>
    <numFmt numFmtId="169" formatCode="0.0000_ "/>
    <numFmt numFmtId="170" formatCode="0.00000_ "/>
    <numFmt numFmtId="171" formatCode="0.000000_ "/>
    <numFmt numFmtId="172" formatCode="0.0000;[Red]0.0000"/>
  </numFmts>
  <fonts count="23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6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color theme="1"/>
      <name val="Calibri"/>
      <scheme val="minor"/>
    </font>
    <font>
      <sz val="10.500000"/>
      <color theme="1"/>
      <name val="宋体"/>
    </font>
  </fonts>
  <fills count="33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28">
    <xf fontId="0" fillId="0" borderId="0" numFmtId="0" xfId="0" applyAlignment="1">
      <alignment vertical="center"/>
    </xf>
    <xf fontId="19" fillId="0" borderId="0" numFmtId="0" xfId="0" applyFont="1" applyAlignment="1">
      <alignment horizontal="center" vertical="center"/>
    </xf>
    <xf fontId="0" fillId="0" borderId="9" numFmtId="0" xfId="0" applyBorder="1" applyAlignment="1">
      <alignment horizontal="center" vertical="center"/>
    </xf>
    <xf fontId="20" fillId="0" borderId="9" numFmtId="0" xfId="0" applyFont="1" applyBorder="1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9" numFmtId="168" xfId="0" applyNumberFormat="1" applyBorder="1" applyAlignment="1">
      <alignment horizontal="center" vertical="center"/>
    </xf>
    <xf fontId="20" fillId="0" borderId="9" numFmtId="169" xfId="0" applyNumberFormat="1" applyFont="1" applyBorder="1" applyAlignment="1">
      <alignment horizontal="center" vertical="center" wrapText="1"/>
    </xf>
    <xf fontId="20" fillId="0" borderId="9" numFmtId="170" xfId="0" applyNumberFormat="1" applyFont="1" applyBorder="1" applyAlignment="1">
      <alignment horizontal="center" vertical="center" wrapText="1"/>
    </xf>
    <xf fontId="20" fillId="0" borderId="9" numFmtId="171" xfId="0" applyNumberFormat="1" applyFont="1" applyBorder="1" applyAlignment="1">
      <alignment horizontal="center" vertical="center" wrapText="1"/>
    </xf>
    <xf fontId="0" fillId="0" borderId="10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9" numFmtId="171" xfId="0" applyNumberFormat="1" applyBorder="1" applyAlignment="1">
      <alignment vertical="center" wrapText="1"/>
    </xf>
    <xf fontId="0" fillId="0" borderId="9" numFmtId="0" xfId="0" applyBorder="1" applyAlignment="1">
      <alignment vertical="center"/>
    </xf>
    <xf fontId="0" fillId="0" borderId="9" numFmtId="171" xfId="0" applyNumberFormat="1" applyBorder="1" applyAlignment="1">
      <alignment vertical="center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0" borderId="12" numFmtId="0" xfId="0" applyBorder="1" applyAlignment="1">
      <alignment horizontal="center" vertical="center" wrapText="1"/>
    </xf>
    <xf fontId="20" fillId="0" borderId="9" numFmtId="0" xfId="0" applyFont="1" applyBorder="1" applyAlignment="1">
      <alignment horizontal="center" vertical="center"/>
    </xf>
    <xf fontId="21" fillId="0" borderId="9" numFmtId="0" xfId="0" applyFont="1" applyBorder="1" applyAlignment="1">
      <alignment horizontal="center" vertical="center"/>
    </xf>
    <xf fontId="22" fillId="0" borderId="9" numFmtId="0" xfId="0" applyFont="1" applyBorder="1" applyAlignment="1">
      <alignment horizontal="center" vertical="center"/>
    </xf>
    <xf fontId="21" fillId="0" borderId="9" numFmtId="172" xfId="0" applyNumberFormat="1" applyFont="1" applyBorder="1" applyAlignment="1">
      <alignment horizontal="center" vertical="center"/>
    </xf>
    <xf fontId="20" fillId="0" borderId="9" numFmtId="0" xfId="0" applyFont="1" applyBorder="1" applyAlignment="1">
      <alignment horizontal="justify" vertical="center"/>
    </xf>
    <xf fontId="20" fillId="0" borderId="9" numFmtId="169" xfId="0" applyNumberFormat="1" applyFont="1" applyBorder="1" applyAlignment="1">
      <alignment horizontal="center" vertical="center"/>
    </xf>
    <xf fontId="22" fillId="0" borderId="0" numFmtId="0" xfId="0" applyFont="1" applyAlignment="1">
      <alignment horizontal="center" vertical="center"/>
    </xf>
    <xf fontId="20" fillId="0" borderId="9" numFmtId="172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7" zoomScale="100" workbookViewId="0">
      <selection activeCell="O14" activeCellId="0" sqref="O14:O25"/>
    </sheetView>
  </sheetViews>
  <sheetFormatPr defaultColWidth="9" defaultRowHeight="14.25"/>
  <cols>
    <col customWidth="1" min="1" max="1" width="7.25"/>
    <col customWidth="1" min="2" max="2" width="9.375"/>
    <col customWidth="1" min="3" max="3" width="7.75"/>
    <col customWidth="1" min="4" max="4" width="7.25"/>
    <col customWidth="1" min="5" max="5" width="9.5"/>
    <col customWidth="1" min="6" max="6" width="9.375"/>
    <col customWidth="1" min="8" max="8" width="11.25"/>
    <col min="10" max="10" width="9.25"/>
    <col customWidth="1" min="11" max="11" width="11.5"/>
    <col customWidth="1" min="14" max="14" width="10.25"/>
    <col min="15" max="15" width="10.125"/>
  </cols>
  <sheetData>
    <row r="3" ht="21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5" ht="27">
      <c r="A5" s="2" t="s">
        <v>1</v>
      </c>
      <c r="B5" s="2" t="s">
        <v>2</v>
      </c>
      <c r="C5" s="2" t="s">
        <v>3</v>
      </c>
      <c r="D5" s="3" t="s">
        <v>4</v>
      </c>
      <c r="E5" s="3" t="s">
        <v>5</v>
      </c>
      <c r="F5" s="4"/>
      <c r="G5" s="4"/>
      <c r="H5" s="4"/>
    </row>
    <row r="6">
      <c r="A6" s="2">
        <v>7</v>
      </c>
      <c r="B6" s="2">
        <v>3625</v>
      </c>
      <c r="C6" s="2">
        <v>1260</v>
      </c>
      <c r="D6" s="2">
        <v>29</v>
      </c>
      <c r="E6" s="5">
        <f t="shared" ref="E6:E8" si="0">C6/D6</f>
        <v>43.448275862069003</v>
      </c>
      <c r="F6" s="4"/>
      <c r="G6" s="4"/>
      <c r="H6" s="4"/>
    </row>
    <row r="7">
      <c r="A7" s="2">
        <v>8</v>
      </c>
      <c r="B7" s="2">
        <v>3891</v>
      </c>
      <c r="C7" s="2">
        <v>1353</v>
      </c>
      <c r="D7" s="2">
        <v>28</v>
      </c>
      <c r="E7" s="5">
        <f t="shared" si="0"/>
        <v>48.321428571428598</v>
      </c>
      <c r="F7" s="4"/>
      <c r="G7" s="4"/>
      <c r="H7" s="4"/>
    </row>
    <row r="8">
      <c r="A8" s="2">
        <v>9</v>
      </c>
      <c r="B8" s="2">
        <v>3719</v>
      </c>
      <c r="C8" s="2">
        <v>1293</v>
      </c>
      <c r="D8" s="2">
        <v>27</v>
      </c>
      <c r="E8" s="5">
        <f t="shared" si="0"/>
        <v>47.8888888888889</v>
      </c>
      <c r="F8" s="4"/>
      <c r="G8" s="4"/>
      <c r="H8" s="4"/>
    </row>
    <row r="12">
      <c r="A12" s="3" t="s">
        <v>6</v>
      </c>
      <c r="B12" s="3" t="s">
        <v>7</v>
      </c>
      <c r="C12" s="3" t="s">
        <v>8</v>
      </c>
      <c r="D12" s="3"/>
      <c r="E12" s="3"/>
      <c r="F12" s="3"/>
      <c r="G12" s="3" t="s">
        <v>9</v>
      </c>
      <c r="H12" s="3"/>
      <c r="I12" s="3"/>
      <c r="J12" s="3"/>
      <c r="K12" s="3" t="s">
        <v>10</v>
      </c>
      <c r="L12" s="3"/>
      <c r="M12" s="3"/>
      <c r="N12" s="3"/>
      <c r="O12" s="3" t="s">
        <v>11</v>
      </c>
    </row>
    <row r="13" ht="27">
      <c r="A13" s="3"/>
      <c r="B13" s="3"/>
      <c r="C13" s="3" t="s">
        <v>12</v>
      </c>
      <c r="D13" s="3" t="s">
        <v>5</v>
      </c>
      <c r="E13" s="3" t="s">
        <v>4</v>
      </c>
      <c r="F13" s="3" t="s">
        <v>13</v>
      </c>
      <c r="G13" s="3" t="s">
        <v>12</v>
      </c>
      <c r="H13" s="3" t="s">
        <v>5</v>
      </c>
      <c r="I13" s="3" t="s">
        <v>4</v>
      </c>
      <c r="J13" s="3" t="s">
        <v>13</v>
      </c>
      <c r="K13" s="3" t="s">
        <v>12</v>
      </c>
      <c r="L13" s="3" t="s">
        <v>5</v>
      </c>
      <c r="M13" s="3" t="s">
        <v>4</v>
      </c>
      <c r="N13" s="3" t="s">
        <v>13</v>
      </c>
      <c r="O13" s="3"/>
    </row>
    <row r="14" ht="27">
      <c r="A14" s="3" t="s">
        <v>14</v>
      </c>
      <c r="B14" s="3" t="s">
        <v>15</v>
      </c>
      <c r="C14" s="3">
        <v>45</v>
      </c>
      <c r="D14" s="2">
        <v>43</v>
      </c>
      <c r="E14" s="2">
        <v>29</v>
      </c>
      <c r="F14" s="6">
        <v>0.056114999999999998</v>
      </c>
      <c r="G14" s="3">
        <v>45</v>
      </c>
      <c r="H14" s="2">
        <v>48</v>
      </c>
      <c r="I14" s="2">
        <v>28</v>
      </c>
      <c r="J14" s="6">
        <v>0.060479999999999999</v>
      </c>
      <c r="K14" s="3">
        <v>45</v>
      </c>
      <c r="L14" s="2">
        <v>48</v>
      </c>
      <c r="M14" s="2">
        <v>27</v>
      </c>
      <c r="N14" s="6">
        <v>0.058319999999999997</v>
      </c>
      <c r="O14" s="6">
        <v>0.17491499999999999</v>
      </c>
    </row>
    <row r="15">
      <c r="A15" s="3"/>
      <c r="B15" s="3" t="s">
        <v>16</v>
      </c>
      <c r="C15" s="3">
        <v>13.800000000000001</v>
      </c>
      <c r="D15" s="2">
        <v>43</v>
      </c>
      <c r="E15" s="2">
        <v>29</v>
      </c>
      <c r="F15" s="6">
        <v>0.017208600000000001</v>
      </c>
      <c r="G15" s="3">
        <v>13.800000000000001</v>
      </c>
      <c r="H15" s="2">
        <v>48</v>
      </c>
      <c r="I15" s="2">
        <v>28</v>
      </c>
      <c r="J15" s="6">
        <v>0.0185472</v>
      </c>
      <c r="K15" s="3">
        <v>13.800000000000001</v>
      </c>
      <c r="L15" s="2">
        <v>48</v>
      </c>
      <c r="M15" s="2">
        <v>27</v>
      </c>
      <c r="N15" s="6">
        <v>0.017884799999999999</v>
      </c>
      <c r="O15" s="6">
        <v>0.053640599999999997</v>
      </c>
    </row>
    <row r="16">
      <c r="A16" s="3"/>
      <c r="B16" s="3" t="s">
        <v>17</v>
      </c>
      <c r="C16" s="3">
        <v>0.042999999999999997</v>
      </c>
      <c r="D16" s="2">
        <v>43</v>
      </c>
      <c r="E16" s="2">
        <v>29</v>
      </c>
      <c r="F16" s="7">
        <v>5.3621e-05</v>
      </c>
      <c r="G16" s="3">
        <v>0.042999999999999997</v>
      </c>
      <c r="H16" s="2">
        <v>48</v>
      </c>
      <c r="I16" s="2">
        <v>28</v>
      </c>
      <c r="J16" s="7">
        <v>5.7791999999999998e-05</v>
      </c>
      <c r="K16" s="3">
        <v>0.042999999999999997</v>
      </c>
      <c r="L16" s="2">
        <v>48</v>
      </c>
      <c r="M16" s="2">
        <v>27</v>
      </c>
      <c r="N16" s="7">
        <v>5.5727999999999999e-05</v>
      </c>
      <c r="O16" s="6">
        <v>0.00016714099999999999</v>
      </c>
    </row>
    <row r="17">
      <c r="A17" s="3"/>
      <c r="B17" s="3" t="s">
        <v>18</v>
      </c>
      <c r="C17" s="3">
        <v>0.25</v>
      </c>
      <c r="D17" s="2">
        <v>43</v>
      </c>
      <c r="E17" s="2">
        <v>29</v>
      </c>
      <c r="F17" s="7">
        <v>0.00031175000000000002</v>
      </c>
      <c r="G17" s="3">
        <v>0.25</v>
      </c>
      <c r="H17" s="2">
        <v>48</v>
      </c>
      <c r="I17" s="2">
        <v>28</v>
      </c>
      <c r="J17" s="7">
        <v>0.00033599999999999998</v>
      </c>
      <c r="K17" s="3">
        <v>0.25</v>
      </c>
      <c r="L17" s="2">
        <v>48</v>
      </c>
      <c r="M17" s="2">
        <v>27</v>
      </c>
      <c r="N17" s="7">
        <v>0.00032400000000000001</v>
      </c>
      <c r="O17" s="6">
        <v>0.00097174999999999996</v>
      </c>
    </row>
    <row r="18">
      <c r="A18" s="3"/>
      <c r="B18" s="3" t="s">
        <v>19</v>
      </c>
      <c r="C18" s="3">
        <v>24</v>
      </c>
      <c r="D18" s="2">
        <v>43</v>
      </c>
      <c r="E18" s="2">
        <v>29</v>
      </c>
      <c r="F18" s="6">
        <v>0.029928</v>
      </c>
      <c r="G18" s="3">
        <v>24</v>
      </c>
      <c r="H18" s="2">
        <v>48</v>
      </c>
      <c r="I18" s="2">
        <v>28</v>
      </c>
      <c r="J18" s="6">
        <v>0.032256</v>
      </c>
      <c r="K18" s="3">
        <v>24</v>
      </c>
      <c r="L18" s="2">
        <v>48</v>
      </c>
      <c r="M18" s="2">
        <v>27</v>
      </c>
      <c r="N18" s="6">
        <v>0.031104</v>
      </c>
      <c r="O18" s="6">
        <v>0.093287999999999996</v>
      </c>
    </row>
    <row r="19">
      <c r="A19" s="3"/>
      <c r="B19" s="3" t="s">
        <v>20</v>
      </c>
      <c r="C19" s="3">
        <v>14.5</v>
      </c>
      <c r="D19" s="2">
        <v>43</v>
      </c>
      <c r="E19" s="2">
        <v>29</v>
      </c>
      <c r="F19" s="6">
        <v>0.0180815</v>
      </c>
      <c r="G19" s="3">
        <v>14.5</v>
      </c>
      <c r="H19" s="2">
        <v>48</v>
      </c>
      <c r="I19" s="2">
        <v>28</v>
      </c>
      <c r="J19" s="6">
        <v>0.019487999999999998</v>
      </c>
      <c r="K19" s="3">
        <v>14.5</v>
      </c>
      <c r="L19" s="2">
        <v>48</v>
      </c>
      <c r="M19" s="2">
        <v>27</v>
      </c>
      <c r="N19" s="6">
        <v>0.018792</v>
      </c>
      <c r="O19" s="6">
        <v>0.056361500000000002</v>
      </c>
    </row>
    <row r="20">
      <c r="A20" s="3"/>
      <c r="B20" s="3" t="s">
        <v>21</v>
      </c>
      <c r="C20" s="3">
        <v>0.10000000000000001</v>
      </c>
      <c r="D20" s="2">
        <v>43</v>
      </c>
      <c r="E20" s="2">
        <v>29</v>
      </c>
      <c r="F20" s="8">
        <v>0.0001247</v>
      </c>
      <c r="G20" s="3">
        <v>0.10000000000000001</v>
      </c>
      <c r="H20" s="2">
        <v>48</v>
      </c>
      <c r="I20" s="2">
        <v>28</v>
      </c>
      <c r="J20" s="8">
        <v>0.00013439999999999999</v>
      </c>
      <c r="K20" s="3">
        <v>0.10000000000000001</v>
      </c>
      <c r="L20" s="2">
        <v>48</v>
      </c>
      <c r="M20" s="2">
        <v>27</v>
      </c>
      <c r="N20" s="8">
        <v>0.00012960000000000001</v>
      </c>
      <c r="O20" s="6">
        <v>0.00038870000000000002</v>
      </c>
    </row>
    <row r="21">
      <c r="A21" s="3"/>
      <c r="B21" s="3" t="s">
        <v>22</v>
      </c>
      <c r="C21" s="3">
        <v>0.25</v>
      </c>
      <c r="D21" s="2">
        <v>43</v>
      </c>
      <c r="E21" s="2">
        <v>29</v>
      </c>
      <c r="F21" s="8">
        <v>0.00031175000000000002</v>
      </c>
      <c r="G21" s="3">
        <v>0.25</v>
      </c>
      <c r="H21" s="2">
        <v>48</v>
      </c>
      <c r="I21" s="2">
        <v>28</v>
      </c>
      <c r="J21" s="8">
        <v>0.00033599999999999998</v>
      </c>
      <c r="K21" s="3">
        <v>0.25</v>
      </c>
      <c r="L21" s="2">
        <v>48</v>
      </c>
      <c r="M21" s="2">
        <v>27</v>
      </c>
      <c r="N21" s="8">
        <v>0.00032400000000000001</v>
      </c>
      <c r="O21" s="6">
        <v>0.00097174999999999996</v>
      </c>
    </row>
    <row r="22">
      <c r="A22" s="3"/>
      <c r="B22" s="3" t="s">
        <v>23</v>
      </c>
      <c r="C22" s="3">
        <v>0.13400000000000001</v>
      </c>
      <c r="D22" s="2">
        <v>43</v>
      </c>
      <c r="E22" s="2">
        <v>29</v>
      </c>
      <c r="F22" s="8">
        <v>0.00016709799999999999</v>
      </c>
      <c r="G22" s="3">
        <v>0.13400000000000001</v>
      </c>
      <c r="H22" s="2">
        <v>48</v>
      </c>
      <c r="I22" s="2">
        <v>28</v>
      </c>
      <c r="J22" s="8">
        <v>0.000180096</v>
      </c>
      <c r="K22" s="3">
        <v>0.13400000000000001</v>
      </c>
      <c r="L22" s="2">
        <v>48</v>
      </c>
      <c r="M22" s="2">
        <v>27</v>
      </c>
      <c r="N22" s="8">
        <v>0.000173664</v>
      </c>
      <c r="O22" s="6">
        <v>0.00052085800000000002</v>
      </c>
    </row>
    <row r="23">
      <c r="A23" s="3"/>
      <c r="B23" s="3" t="s">
        <v>24</v>
      </c>
      <c r="C23" s="3">
        <v>12.4</v>
      </c>
      <c r="D23" s="2">
        <v>43</v>
      </c>
      <c r="E23" s="2">
        <v>29</v>
      </c>
      <c r="F23" s="6">
        <v>0.015462800000000001</v>
      </c>
      <c r="G23" s="3">
        <v>12.4</v>
      </c>
      <c r="H23" s="2">
        <v>48</v>
      </c>
      <c r="I23" s="2">
        <v>28</v>
      </c>
      <c r="J23" s="6">
        <v>0.016665599999999999</v>
      </c>
      <c r="K23" s="3">
        <v>12.4</v>
      </c>
      <c r="L23" s="2">
        <v>48</v>
      </c>
      <c r="M23" s="2">
        <v>27</v>
      </c>
      <c r="N23" s="6">
        <v>0.016070399999999999</v>
      </c>
      <c r="O23" s="6">
        <v>0.0481988</v>
      </c>
    </row>
    <row r="24">
      <c r="A24" s="3"/>
      <c r="B24" s="3" t="s">
        <v>25</v>
      </c>
      <c r="C24" s="3">
        <v>58</v>
      </c>
      <c r="D24" s="2">
        <v>43</v>
      </c>
      <c r="E24" s="2">
        <v>29</v>
      </c>
      <c r="F24" s="6">
        <v>0.072326000000000001</v>
      </c>
      <c r="G24" s="3">
        <v>58</v>
      </c>
      <c r="H24" s="2">
        <v>48</v>
      </c>
      <c r="I24" s="2">
        <v>28</v>
      </c>
      <c r="J24" s="6">
        <v>0.077951999999999994</v>
      </c>
      <c r="K24" s="3">
        <v>58</v>
      </c>
      <c r="L24" s="2">
        <v>48</v>
      </c>
      <c r="M24" s="2">
        <v>27</v>
      </c>
      <c r="N24" s="6">
        <v>0.075167999999999999</v>
      </c>
      <c r="O24" s="6">
        <v>0.22544600000000001</v>
      </c>
    </row>
    <row r="25">
      <c r="A25" s="3"/>
      <c r="B25" s="3" t="s">
        <v>26</v>
      </c>
      <c r="C25" s="3">
        <v>3.2400000000000002</v>
      </c>
      <c r="D25" s="2">
        <v>43</v>
      </c>
      <c r="E25" s="2">
        <v>29</v>
      </c>
      <c r="F25" s="6">
        <v>0.0040402800000000003</v>
      </c>
      <c r="G25" s="3">
        <v>3.2400000000000002</v>
      </c>
      <c r="H25" s="2">
        <v>48</v>
      </c>
      <c r="I25" s="2">
        <v>28</v>
      </c>
      <c r="J25" s="6">
        <v>0.0043545600000000004</v>
      </c>
      <c r="K25" s="3">
        <v>3.2400000000000002</v>
      </c>
      <c r="L25" s="2">
        <v>48</v>
      </c>
      <c r="M25" s="2">
        <v>27</v>
      </c>
      <c r="N25" s="6">
        <v>0.0041990400000000002</v>
      </c>
      <c r="O25" s="6">
        <v>0.01259388</v>
      </c>
    </row>
    <row r="26">
      <c r="A26" s="2"/>
      <c r="B26" s="2" t="s">
        <v>27</v>
      </c>
      <c r="C26" s="9">
        <v>7.2999999999999998</v>
      </c>
      <c r="D26" s="10"/>
      <c r="E26" s="10"/>
      <c r="F26" s="11"/>
      <c r="G26" s="9">
        <v>7.2999999999999998</v>
      </c>
      <c r="H26" s="10"/>
      <c r="I26" s="10"/>
      <c r="J26" s="11"/>
      <c r="K26" s="9">
        <v>7.2999999999999998</v>
      </c>
      <c r="L26" s="10"/>
      <c r="M26" s="10"/>
      <c r="N26" s="11"/>
      <c r="O26" s="2"/>
    </row>
    <row r="29">
      <c r="D29" s="3" t="s">
        <v>6</v>
      </c>
      <c r="E29" s="3" t="s">
        <v>7</v>
      </c>
      <c r="F29" s="12" t="s">
        <v>8</v>
      </c>
      <c r="G29" s="12"/>
      <c r="H29" s="12"/>
      <c r="I29" s="12" t="s">
        <v>9</v>
      </c>
      <c r="J29" s="12"/>
      <c r="K29" s="12"/>
      <c r="L29" s="12" t="s">
        <v>10</v>
      </c>
      <c r="M29" s="12"/>
      <c r="N29" s="12"/>
    </row>
    <row r="30" ht="28.5">
      <c r="D30" s="3"/>
      <c r="E30" s="3"/>
      <c r="F30" s="13" t="s">
        <v>12</v>
      </c>
      <c r="G30" s="13" t="s">
        <v>28</v>
      </c>
      <c r="H30" s="13" t="s">
        <v>29</v>
      </c>
      <c r="I30" s="13" t="s">
        <v>12</v>
      </c>
      <c r="J30" s="13" t="s">
        <v>28</v>
      </c>
      <c r="K30" s="13" t="s">
        <v>29</v>
      </c>
      <c r="L30" s="13" t="s">
        <v>12</v>
      </c>
      <c r="M30" s="13" t="s">
        <v>28</v>
      </c>
      <c r="N30" s="13" t="s">
        <v>29</v>
      </c>
    </row>
    <row r="31" ht="27">
      <c r="D31" s="3" t="s">
        <v>14</v>
      </c>
      <c r="E31" s="3" t="s">
        <v>15</v>
      </c>
      <c r="F31" s="3">
        <v>45</v>
      </c>
      <c r="G31" s="13">
        <v>1260</v>
      </c>
      <c r="H31" s="14">
        <f t="shared" ref="H31:H42" si="1">G31*F31/1000000</f>
        <v>0.0567</v>
      </c>
      <c r="I31" s="3">
        <v>45</v>
      </c>
      <c r="J31" s="15">
        <v>1353</v>
      </c>
      <c r="K31" s="16">
        <f t="shared" ref="K31:K42" si="2">J31*I31/1000000</f>
        <v>0.060885000000000002</v>
      </c>
      <c r="L31" s="3">
        <v>45</v>
      </c>
      <c r="M31" s="15">
        <v>1293</v>
      </c>
      <c r="N31" s="16">
        <f t="shared" ref="N31:N42" si="3">M31*L31/1000000</f>
        <v>0.058185000000000001</v>
      </c>
    </row>
    <row r="32">
      <c r="D32" s="3"/>
      <c r="E32" s="3" t="s">
        <v>16</v>
      </c>
      <c r="F32" s="3">
        <v>13.800000000000001</v>
      </c>
      <c r="G32" s="13">
        <v>1260</v>
      </c>
      <c r="H32" s="14">
        <f t="shared" si="1"/>
        <v>0.017388000000000001</v>
      </c>
      <c r="I32" s="3">
        <v>13.800000000000001</v>
      </c>
      <c r="J32" s="15">
        <v>1353</v>
      </c>
      <c r="K32" s="16">
        <f t="shared" si="2"/>
        <v>0.018671400000000001</v>
      </c>
      <c r="L32" s="3">
        <v>13.800000000000001</v>
      </c>
      <c r="M32" s="15">
        <v>1293</v>
      </c>
      <c r="N32" s="16">
        <f t="shared" si="3"/>
        <v>0.017843399999999999</v>
      </c>
    </row>
    <row r="33">
      <c r="D33" s="3"/>
      <c r="E33" s="3" t="s">
        <v>17</v>
      </c>
      <c r="F33" s="3">
        <v>0.042999999999999997</v>
      </c>
      <c r="G33" s="13">
        <v>1260</v>
      </c>
      <c r="H33" s="14">
        <f t="shared" si="1"/>
        <v>5.418e-05</v>
      </c>
      <c r="I33" s="3">
        <v>0.042999999999999997</v>
      </c>
      <c r="J33" s="15">
        <v>1353</v>
      </c>
      <c r="K33" s="16">
        <f t="shared" si="2"/>
        <v>5.8179e-05</v>
      </c>
      <c r="L33" s="3">
        <v>0.042999999999999997</v>
      </c>
      <c r="M33" s="15">
        <v>1293</v>
      </c>
      <c r="N33" s="16">
        <f t="shared" si="3"/>
        <v>5.5599000000000001e-05</v>
      </c>
    </row>
    <row r="34">
      <c r="D34" s="3"/>
      <c r="E34" s="3" t="s">
        <v>18</v>
      </c>
      <c r="F34" s="3">
        <v>0.25</v>
      </c>
      <c r="G34" s="13">
        <v>1260</v>
      </c>
      <c r="H34" s="14">
        <f t="shared" si="1"/>
        <v>0.00031500000000000001</v>
      </c>
      <c r="I34" s="3">
        <v>0.25</v>
      </c>
      <c r="J34" s="15">
        <v>1353</v>
      </c>
      <c r="K34" s="16">
        <f t="shared" si="2"/>
        <v>0.00033825000000000001</v>
      </c>
      <c r="L34" s="3">
        <v>0.25</v>
      </c>
      <c r="M34" s="15">
        <v>1293</v>
      </c>
      <c r="N34" s="16">
        <f t="shared" si="3"/>
        <v>0.00032325000000000002</v>
      </c>
    </row>
    <row r="35">
      <c r="D35" s="3"/>
      <c r="E35" s="3" t="s">
        <v>19</v>
      </c>
      <c r="F35" s="3">
        <v>24</v>
      </c>
      <c r="G35" s="13">
        <v>1260</v>
      </c>
      <c r="H35" s="14">
        <f t="shared" si="1"/>
        <v>0.03024</v>
      </c>
      <c r="I35" s="3">
        <v>24</v>
      </c>
      <c r="J35" s="15">
        <v>1353</v>
      </c>
      <c r="K35" s="16">
        <f t="shared" si="2"/>
        <v>0.032472000000000001</v>
      </c>
      <c r="L35" s="3">
        <v>24</v>
      </c>
      <c r="M35" s="15">
        <v>1293</v>
      </c>
      <c r="N35" s="16">
        <f t="shared" si="3"/>
        <v>0.031032000000000001</v>
      </c>
    </row>
    <row r="36">
      <c r="D36" s="3"/>
      <c r="E36" s="3" t="s">
        <v>20</v>
      </c>
      <c r="F36" s="3">
        <v>14.5</v>
      </c>
      <c r="G36" s="13">
        <v>1260</v>
      </c>
      <c r="H36" s="14">
        <f t="shared" si="1"/>
        <v>0.018270000000000002</v>
      </c>
      <c r="I36" s="3">
        <v>14.5</v>
      </c>
      <c r="J36" s="15">
        <v>1353</v>
      </c>
      <c r="K36" s="16">
        <f t="shared" si="2"/>
        <v>0.019618500000000001</v>
      </c>
      <c r="L36" s="3">
        <v>14.5</v>
      </c>
      <c r="M36" s="15">
        <v>1293</v>
      </c>
      <c r="N36" s="16">
        <f t="shared" si="3"/>
        <v>0.018748500000000001</v>
      </c>
    </row>
    <row r="37">
      <c r="D37" s="3"/>
      <c r="E37" s="3" t="s">
        <v>21</v>
      </c>
      <c r="F37" s="3">
        <v>0.10000000000000001</v>
      </c>
      <c r="G37" s="13">
        <v>1260</v>
      </c>
      <c r="H37" s="14">
        <f t="shared" si="1"/>
        <v>0.000126</v>
      </c>
      <c r="I37" s="3">
        <v>0.10000000000000001</v>
      </c>
      <c r="J37" s="15">
        <v>1353</v>
      </c>
      <c r="K37" s="16">
        <f t="shared" si="2"/>
        <v>0.00013530000000000001</v>
      </c>
      <c r="L37" s="3">
        <v>0.10000000000000001</v>
      </c>
      <c r="M37" s="15">
        <v>1293</v>
      </c>
      <c r="N37" s="16">
        <f t="shared" si="3"/>
        <v>0.0001293</v>
      </c>
    </row>
    <row r="38">
      <c r="D38" s="3"/>
      <c r="E38" s="3" t="s">
        <v>22</v>
      </c>
      <c r="F38" s="3">
        <v>0.25</v>
      </c>
      <c r="G38" s="13">
        <v>1260</v>
      </c>
      <c r="H38" s="14">
        <f t="shared" si="1"/>
        <v>0.00031500000000000001</v>
      </c>
      <c r="I38" s="3">
        <v>0.25</v>
      </c>
      <c r="J38" s="15">
        <v>1353</v>
      </c>
      <c r="K38" s="16">
        <f t="shared" si="2"/>
        <v>0.00033825000000000001</v>
      </c>
      <c r="L38" s="3">
        <v>0.25</v>
      </c>
      <c r="M38" s="15">
        <v>1293</v>
      </c>
      <c r="N38" s="16">
        <f t="shared" si="3"/>
        <v>0.00032325000000000002</v>
      </c>
    </row>
    <row r="39">
      <c r="D39" s="3"/>
      <c r="E39" s="3" t="s">
        <v>23</v>
      </c>
      <c r="F39" s="3">
        <v>0.13400000000000001</v>
      </c>
      <c r="G39" s="13">
        <v>1260</v>
      </c>
      <c r="H39" s="14">
        <f t="shared" si="1"/>
        <v>0.00016883999999999999</v>
      </c>
      <c r="I39" s="3">
        <v>0.13400000000000001</v>
      </c>
      <c r="J39" s="15">
        <v>1353</v>
      </c>
      <c r="K39" s="16">
        <f t="shared" si="2"/>
        <v>0.00018130199999999999</v>
      </c>
      <c r="L39" s="3">
        <v>0.13400000000000001</v>
      </c>
      <c r="M39" s="15">
        <v>1293</v>
      </c>
      <c r="N39" s="16">
        <f t="shared" si="3"/>
        <v>0.00017326200000000001</v>
      </c>
    </row>
    <row r="40">
      <c r="D40" s="3"/>
      <c r="E40" s="3" t="s">
        <v>24</v>
      </c>
      <c r="F40" s="3">
        <v>12.4</v>
      </c>
      <c r="G40" s="13">
        <v>1260</v>
      </c>
      <c r="H40" s="14">
        <f t="shared" si="1"/>
        <v>0.015624000000000001</v>
      </c>
      <c r="I40" s="3">
        <v>12.4</v>
      </c>
      <c r="J40" s="15">
        <v>1353</v>
      </c>
      <c r="K40" s="16">
        <f t="shared" si="2"/>
        <v>0.016777199999999999</v>
      </c>
      <c r="L40" s="3">
        <v>12.4</v>
      </c>
      <c r="M40" s="15">
        <v>1293</v>
      </c>
      <c r="N40" s="16">
        <f t="shared" si="3"/>
        <v>0.016033200000000001</v>
      </c>
    </row>
    <row r="41">
      <c r="D41" s="3"/>
      <c r="E41" s="3" t="s">
        <v>25</v>
      </c>
      <c r="F41" s="3">
        <v>58</v>
      </c>
      <c r="G41" s="13">
        <v>1260</v>
      </c>
      <c r="H41" s="14">
        <f t="shared" si="1"/>
        <v>0.073080000000000006</v>
      </c>
      <c r="I41" s="3">
        <v>58</v>
      </c>
      <c r="J41" s="15">
        <v>1353</v>
      </c>
      <c r="K41" s="16">
        <f t="shared" si="2"/>
        <v>0.078474000000000002</v>
      </c>
      <c r="L41" s="3">
        <v>58</v>
      </c>
      <c r="M41" s="15">
        <v>1293</v>
      </c>
      <c r="N41" s="16">
        <f t="shared" si="3"/>
        <v>0.074994000000000005</v>
      </c>
    </row>
    <row r="42">
      <c r="D42" s="3"/>
      <c r="E42" s="3" t="s">
        <v>26</v>
      </c>
      <c r="F42" s="3">
        <v>3.2400000000000002</v>
      </c>
      <c r="G42" s="13">
        <v>1260</v>
      </c>
      <c r="H42" s="14">
        <f t="shared" si="1"/>
        <v>0.0040823999999999999</v>
      </c>
      <c r="I42" s="3">
        <v>3.2400000000000002</v>
      </c>
      <c r="J42" s="15">
        <v>1353</v>
      </c>
      <c r="K42" s="16">
        <f t="shared" si="2"/>
        <v>0.0043837199999999998</v>
      </c>
      <c r="L42" s="3">
        <v>3.2400000000000002</v>
      </c>
      <c r="M42" s="15">
        <v>1293</v>
      </c>
      <c r="N42" s="16">
        <f t="shared" si="3"/>
        <v>0.0041893199999999998</v>
      </c>
    </row>
    <row r="43">
      <c r="D43" s="2"/>
      <c r="E43" s="2" t="s">
        <v>27</v>
      </c>
      <c r="F43" s="17">
        <v>7.2999999999999998</v>
      </c>
      <c r="G43" s="18"/>
      <c r="H43" s="19"/>
      <c r="I43" s="17">
        <v>7.2999999999999998</v>
      </c>
      <c r="J43" s="18"/>
      <c r="K43" s="19"/>
      <c r="L43" s="17">
        <v>7.2999999999999998</v>
      </c>
      <c r="M43" s="18"/>
      <c r="N43" s="19"/>
    </row>
  </sheetData>
  <mergeCells count="18">
    <mergeCell ref="A3:O3"/>
    <mergeCell ref="A12:A13"/>
    <mergeCell ref="B12:B13"/>
    <mergeCell ref="C12:F12"/>
    <mergeCell ref="G12:J12"/>
    <mergeCell ref="K12:N12"/>
    <mergeCell ref="O12:O13"/>
    <mergeCell ref="C26:F26"/>
    <mergeCell ref="G26:J26"/>
    <mergeCell ref="K26:N26"/>
    <mergeCell ref="D29:D30"/>
    <mergeCell ref="E29:E30"/>
    <mergeCell ref="F29:H29"/>
    <mergeCell ref="I29:K29"/>
    <mergeCell ref="L29:N29"/>
    <mergeCell ref="F43:H43"/>
    <mergeCell ref="I43:K43"/>
    <mergeCell ref="L43:N4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10" workbookViewId="0">
      <selection activeCell="O30" activeCellId="0" sqref="O30"/>
    </sheetView>
  </sheetViews>
  <sheetFormatPr defaultColWidth="9" defaultRowHeight="13.5"/>
  <sheetData>
    <row r="2" ht="20.25">
      <c r="A2" s="1" t="s">
        <v>30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3" t="s">
        <v>6</v>
      </c>
      <c r="B3" s="3" t="s">
        <v>7</v>
      </c>
      <c r="C3" s="20" t="s">
        <v>8</v>
      </c>
      <c r="D3" s="20"/>
      <c r="E3" s="20"/>
      <c r="F3" s="20"/>
      <c r="G3" s="20" t="s">
        <v>9</v>
      </c>
      <c r="H3" s="20"/>
      <c r="I3" s="20"/>
      <c r="J3" s="20"/>
      <c r="K3" s="20" t="s">
        <v>10</v>
      </c>
      <c r="L3" s="20"/>
      <c r="M3" s="20"/>
      <c r="N3" s="20"/>
      <c r="O3" s="21" t="s">
        <v>11</v>
      </c>
    </row>
    <row r="4" ht="24">
      <c r="A4" s="3"/>
      <c r="B4" s="3"/>
      <c r="C4" s="3" t="s">
        <v>31</v>
      </c>
      <c r="D4" s="3" t="s">
        <v>32</v>
      </c>
      <c r="E4" s="3" t="s">
        <v>33</v>
      </c>
      <c r="F4" s="3" t="s">
        <v>13</v>
      </c>
      <c r="G4" s="3" t="s">
        <v>31</v>
      </c>
      <c r="H4" s="3" t="s">
        <v>32</v>
      </c>
      <c r="I4" s="3" t="s">
        <v>33</v>
      </c>
      <c r="J4" s="3" t="s">
        <v>13</v>
      </c>
      <c r="K4" s="3" t="s">
        <v>31</v>
      </c>
      <c r="L4" s="3" t="s">
        <v>32</v>
      </c>
      <c r="M4" s="3" t="s">
        <v>33</v>
      </c>
      <c r="N4" s="3" t="s">
        <v>13</v>
      </c>
      <c r="O4" s="21"/>
    </row>
    <row r="5">
      <c r="A5" s="3" t="s">
        <v>34</v>
      </c>
      <c r="B5" s="3" t="s">
        <v>35</v>
      </c>
      <c r="C5" s="3">
        <v>2.6000000000000001</v>
      </c>
      <c r="D5" s="22">
        <v>4377</v>
      </c>
      <c r="E5" s="3">
        <v>480</v>
      </c>
      <c r="F5" s="6">
        <v>0.0054624959999999998</v>
      </c>
      <c r="G5" s="3">
        <v>2.6000000000000001</v>
      </c>
      <c r="H5" s="22">
        <v>4377</v>
      </c>
      <c r="I5" s="3">
        <v>464</v>
      </c>
      <c r="J5" s="6">
        <v>0.0052804128000000002</v>
      </c>
      <c r="K5" s="3">
        <v>2.6000000000000001</v>
      </c>
      <c r="L5" s="22">
        <v>4377</v>
      </c>
      <c r="M5" s="3">
        <v>432</v>
      </c>
      <c r="N5" s="6">
        <v>0.0049162464000000001</v>
      </c>
      <c r="O5" s="23"/>
    </row>
    <row r="6">
      <c r="A6" s="3" t="s">
        <v>36</v>
      </c>
      <c r="B6" s="3" t="s">
        <v>35</v>
      </c>
      <c r="C6" s="3">
        <v>2.5</v>
      </c>
      <c r="D6" s="22">
        <v>5680</v>
      </c>
      <c r="E6" s="3">
        <v>448</v>
      </c>
      <c r="F6" s="6">
        <v>0.0063616000000000002</v>
      </c>
      <c r="G6" s="3">
        <v>2.5</v>
      </c>
      <c r="H6" s="22">
        <v>5680</v>
      </c>
      <c r="I6" s="3">
        <v>440</v>
      </c>
      <c r="J6" s="6">
        <v>0.0062480000000000001</v>
      </c>
      <c r="K6" s="3">
        <v>2.5</v>
      </c>
      <c r="L6" s="22">
        <v>5680</v>
      </c>
      <c r="M6" s="3">
        <v>424</v>
      </c>
      <c r="N6" s="6">
        <v>0.0060207999999999998</v>
      </c>
      <c r="O6" s="23"/>
    </row>
    <row r="7">
      <c r="A7" s="3" t="s">
        <v>37</v>
      </c>
      <c r="B7" s="3" t="s">
        <v>35</v>
      </c>
      <c r="C7" s="3">
        <v>2.3999999999999999</v>
      </c>
      <c r="D7" s="22">
        <v>2321</v>
      </c>
      <c r="E7" s="3">
        <v>448</v>
      </c>
      <c r="F7" s="6">
        <v>0.0024955391999999998</v>
      </c>
      <c r="G7" s="3">
        <v>2.3999999999999999</v>
      </c>
      <c r="H7" s="22">
        <v>2321</v>
      </c>
      <c r="I7" s="3">
        <v>440</v>
      </c>
      <c r="J7" s="6">
        <v>0.0024509760000000001</v>
      </c>
      <c r="K7" s="3">
        <v>2.3999999999999999</v>
      </c>
      <c r="L7" s="22">
        <v>2321</v>
      </c>
      <c r="M7" s="3">
        <v>424</v>
      </c>
      <c r="N7" s="6">
        <v>0.0023618495999999998</v>
      </c>
      <c r="O7" s="23"/>
    </row>
    <row r="8">
      <c r="A8" s="3" t="s">
        <v>38</v>
      </c>
      <c r="B8" s="3" t="s">
        <v>35</v>
      </c>
      <c r="C8" s="3">
        <v>2.6000000000000001</v>
      </c>
      <c r="D8" s="22">
        <v>14031</v>
      </c>
      <c r="E8" s="3">
        <v>644</v>
      </c>
      <c r="F8" s="6">
        <v>0.023493506399999999</v>
      </c>
      <c r="G8" s="3">
        <v>2.6000000000000001</v>
      </c>
      <c r="H8" s="22">
        <v>14031</v>
      </c>
      <c r="I8" s="3">
        <v>624</v>
      </c>
      <c r="J8" s="6">
        <v>0.022763894400000002</v>
      </c>
      <c r="K8" s="3">
        <v>2.6000000000000001</v>
      </c>
      <c r="L8" s="22">
        <v>14031</v>
      </c>
      <c r="M8" s="3">
        <v>587</v>
      </c>
      <c r="N8" s="6">
        <v>0.021414112200000002</v>
      </c>
      <c r="O8" s="23"/>
    </row>
    <row r="9">
      <c r="A9" s="3" t="s">
        <v>39</v>
      </c>
      <c r="B9" s="3" t="s">
        <v>35</v>
      </c>
      <c r="C9" s="3">
        <v>2.7999999999999998</v>
      </c>
      <c r="D9" s="22">
        <v>3253</v>
      </c>
      <c r="E9" s="3">
        <v>644</v>
      </c>
      <c r="F9" s="6">
        <v>0.0058658095999999998</v>
      </c>
      <c r="G9" s="3">
        <v>2.7999999999999998</v>
      </c>
      <c r="H9" s="22">
        <v>3253</v>
      </c>
      <c r="I9" s="3">
        <v>624</v>
      </c>
      <c r="J9" s="6">
        <v>0.0056836415999999999</v>
      </c>
      <c r="K9" s="3">
        <v>2.7999999999999998</v>
      </c>
      <c r="L9" s="22">
        <v>3253</v>
      </c>
      <c r="M9" s="3">
        <v>571</v>
      </c>
      <c r="N9" s="6">
        <v>0.0052008964000000001</v>
      </c>
      <c r="O9" s="23"/>
    </row>
    <row r="10">
      <c r="A10" s="3" t="s">
        <v>40</v>
      </c>
      <c r="B10" s="3" t="s">
        <v>35</v>
      </c>
      <c r="C10" s="3">
        <v>2.6000000000000001</v>
      </c>
      <c r="D10" s="22">
        <v>16434</v>
      </c>
      <c r="E10" s="3">
        <v>448</v>
      </c>
      <c r="F10" s="6">
        <v>0.019142323199999998</v>
      </c>
      <c r="G10" s="3">
        <v>2.6000000000000001</v>
      </c>
      <c r="H10" s="22">
        <v>16434</v>
      </c>
      <c r="I10" s="3">
        <v>448</v>
      </c>
      <c r="J10" s="6">
        <v>0.019142323199999998</v>
      </c>
      <c r="K10" s="3">
        <v>2.6000000000000001</v>
      </c>
      <c r="L10" s="22">
        <v>16434</v>
      </c>
      <c r="M10" s="3">
        <v>432</v>
      </c>
      <c r="N10" s="6">
        <v>0.018458668800000001</v>
      </c>
      <c r="O10" s="23"/>
    </row>
    <row r="11">
      <c r="A11" s="3" t="s">
        <v>41</v>
      </c>
      <c r="B11" s="3" t="s">
        <v>35</v>
      </c>
      <c r="C11" s="3">
        <v>2.5</v>
      </c>
      <c r="D11" s="22">
        <v>9647</v>
      </c>
      <c r="E11" s="3">
        <v>224</v>
      </c>
      <c r="F11" s="6">
        <v>0.0054023200000000004</v>
      </c>
      <c r="G11" s="3">
        <v>2.5</v>
      </c>
      <c r="H11" s="22">
        <v>9647</v>
      </c>
      <c r="I11" s="3">
        <v>224</v>
      </c>
      <c r="J11" s="6">
        <v>0.0054023200000000004</v>
      </c>
      <c r="K11" s="3">
        <v>2.5</v>
      </c>
      <c r="L11" s="22">
        <v>9647</v>
      </c>
      <c r="M11" s="3">
        <v>216</v>
      </c>
      <c r="N11" s="6">
        <v>0.0052093799999999996</v>
      </c>
      <c r="O11" s="23"/>
    </row>
    <row r="12">
      <c r="A12" s="3" t="s">
        <v>42</v>
      </c>
      <c r="B12" s="3" t="s">
        <v>35</v>
      </c>
      <c r="C12" s="3">
        <v>2.7999999999999998</v>
      </c>
      <c r="D12" s="22">
        <v>5887</v>
      </c>
      <c r="E12" s="3">
        <v>448</v>
      </c>
      <c r="F12" s="6">
        <v>0.0073846527999999996</v>
      </c>
      <c r="G12" s="3">
        <v>2.7999999999999998</v>
      </c>
      <c r="H12" s="22">
        <v>5887</v>
      </c>
      <c r="I12" s="3">
        <v>448</v>
      </c>
      <c r="J12" s="6">
        <v>0.0073846527999999996</v>
      </c>
      <c r="K12" s="3">
        <v>2.7999999999999998</v>
      </c>
      <c r="L12" s="22">
        <v>5887</v>
      </c>
      <c r="M12" s="3">
        <v>432</v>
      </c>
      <c r="N12" s="6">
        <v>0.0071209152000000003</v>
      </c>
      <c r="O12" s="23"/>
    </row>
    <row r="13">
      <c r="A13" s="3" t="s">
        <v>43</v>
      </c>
      <c r="B13" s="3" t="s">
        <v>35</v>
      </c>
      <c r="C13" s="3">
        <v>2.7999999999999998</v>
      </c>
      <c r="D13" s="22">
        <v>12648</v>
      </c>
      <c r="E13" s="3">
        <v>224</v>
      </c>
      <c r="F13" s="6">
        <v>0.0079328256000000003</v>
      </c>
      <c r="G13" s="3">
        <v>2.7999999999999998</v>
      </c>
      <c r="H13" s="22">
        <v>12648</v>
      </c>
      <c r="I13" s="3">
        <v>224</v>
      </c>
      <c r="J13" s="6">
        <v>0.0079328256000000003</v>
      </c>
      <c r="K13" s="3">
        <v>2.7999999999999998</v>
      </c>
      <c r="L13" s="22">
        <v>12648</v>
      </c>
      <c r="M13" s="3">
        <v>224</v>
      </c>
      <c r="N13" s="6">
        <v>0.0079328256000000003</v>
      </c>
      <c r="O13" s="23"/>
    </row>
    <row r="14">
      <c r="A14" s="3" t="s">
        <v>44</v>
      </c>
      <c r="B14" s="3" t="s">
        <v>35</v>
      </c>
      <c r="C14" s="3">
        <v>2.1000000000000001</v>
      </c>
      <c r="D14" s="22">
        <v>8609</v>
      </c>
      <c r="E14" s="3">
        <v>244</v>
      </c>
      <c r="F14" s="6">
        <v>0.0044112515999999999</v>
      </c>
      <c r="G14" s="3">
        <v>2.1000000000000001</v>
      </c>
      <c r="H14" s="22">
        <v>8609</v>
      </c>
      <c r="I14" s="3">
        <v>252</v>
      </c>
      <c r="J14" s="6">
        <v>0.0045558828000000001</v>
      </c>
      <c r="K14" s="3">
        <v>2.1000000000000001</v>
      </c>
      <c r="L14" s="22">
        <v>8609</v>
      </c>
      <c r="M14" s="3">
        <v>216</v>
      </c>
      <c r="N14" s="6">
        <v>0.0039050424000000002</v>
      </c>
      <c r="O14" s="23"/>
    </row>
    <row r="15">
      <c r="A15" s="20" t="s">
        <v>45</v>
      </c>
      <c r="B15" s="3" t="s">
        <v>35</v>
      </c>
      <c r="C15" s="3">
        <v>2.7000000000000002</v>
      </c>
      <c r="D15" s="3">
        <v>827</v>
      </c>
      <c r="E15" s="3">
        <v>232</v>
      </c>
      <c r="F15" s="6">
        <v>0.00051803280000000003</v>
      </c>
      <c r="G15" s="3">
        <v>2.7000000000000002</v>
      </c>
      <c r="H15" s="3">
        <v>827</v>
      </c>
      <c r="I15" s="3">
        <v>224</v>
      </c>
      <c r="J15" s="6">
        <v>0.00050016959999999995</v>
      </c>
      <c r="K15" s="3">
        <v>2.7000000000000002</v>
      </c>
      <c r="L15" s="3">
        <v>827</v>
      </c>
      <c r="M15" s="3">
        <v>216</v>
      </c>
      <c r="N15" s="6">
        <v>0.00048230639999999997</v>
      </c>
      <c r="O15" s="23"/>
    </row>
    <row r="16">
      <c r="A16" s="20" t="s">
        <v>46</v>
      </c>
      <c r="B16" s="3" t="s">
        <v>35</v>
      </c>
      <c r="C16" s="3"/>
      <c r="D16" s="3"/>
      <c r="E16" s="3"/>
      <c r="F16" s="6"/>
      <c r="G16" s="3"/>
      <c r="H16" s="3"/>
      <c r="I16" s="3"/>
      <c r="J16" s="6"/>
      <c r="K16" s="3"/>
      <c r="L16" s="3"/>
      <c r="M16" s="3"/>
      <c r="N16" s="6"/>
      <c r="O16" s="23"/>
    </row>
    <row r="17">
      <c r="A17" s="20" t="s">
        <v>47</v>
      </c>
      <c r="B17" s="24"/>
      <c r="C17" s="3"/>
      <c r="D17" s="3"/>
      <c r="E17" s="3"/>
      <c r="F17" s="6">
        <v>0.088470357200000002</v>
      </c>
      <c r="G17" s="3"/>
      <c r="H17" s="3"/>
      <c r="I17" s="3"/>
      <c r="J17" s="6">
        <v>0.087345098800000007</v>
      </c>
      <c r="K17" s="3"/>
      <c r="L17" s="3"/>
      <c r="M17" s="3"/>
      <c r="N17" s="6">
        <v>0.083023043000000005</v>
      </c>
      <c r="O17" s="23">
        <v>0.258838499</v>
      </c>
    </row>
    <row r="18">
      <c r="A18" s="3" t="s">
        <v>39</v>
      </c>
      <c r="B18" s="20" t="s">
        <v>48</v>
      </c>
      <c r="C18" s="20">
        <v>1.5</v>
      </c>
      <c r="D18" s="3">
        <v>3253</v>
      </c>
      <c r="E18" s="20">
        <v>644</v>
      </c>
      <c r="F18" s="25">
        <v>0.0031423979999999998</v>
      </c>
      <c r="G18" s="20">
        <v>1.5</v>
      </c>
      <c r="H18" s="3">
        <v>3253</v>
      </c>
      <c r="I18" s="20">
        <v>624</v>
      </c>
      <c r="J18" s="25">
        <v>0.003044808</v>
      </c>
      <c r="K18" s="20">
        <v>1.5</v>
      </c>
      <c r="L18" s="3">
        <v>3253</v>
      </c>
      <c r="M18" s="20">
        <v>571</v>
      </c>
      <c r="N18" s="25">
        <v>0.0027861944999999998</v>
      </c>
      <c r="O18" s="23">
        <v>0.0089734004999999992</v>
      </c>
    </row>
    <row r="19">
      <c r="A19" s="20" t="s">
        <v>45</v>
      </c>
      <c r="B19" s="20" t="s">
        <v>48</v>
      </c>
      <c r="C19" s="20">
        <v>43</v>
      </c>
      <c r="D19" s="3">
        <v>439</v>
      </c>
      <c r="E19" s="3">
        <v>232</v>
      </c>
      <c r="F19" s="25">
        <v>0.0043794639999999996</v>
      </c>
      <c r="G19" s="20">
        <v>45</v>
      </c>
      <c r="H19" s="3">
        <v>1385</v>
      </c>
      <c r="I19" s="3">
        <v>224</v>
      </c>
      <c r="J19" s="25">
        <v>0.013960800000000001</v>
      </c>
      <c r="K19" s="20">
        <v>27</v>
      </c>
      <c r="L19" s="3">
        <v>859</v>
      </c>
      <c r="M19" s="3">
        <v>216</v>
      </c>
      <c r="N19" s="25">
        <v>0.005009688</v>
      </c>
      <c r="O19" s="23">
        <v>0.023400000000000001</v>
      </c>
    </row>
    <row r="20">
      <c r="A20" s="20" t="s">
        <v>46</v>
      </c>
      <c r="B20" s="20" t="s">
        <v>48</v>
      </c>
      <c r="C20" s="20"/>
      <c r="D20" s="3"/>
      <c r="E20" s="3"/>
      <c r="F20" s="25"/>
      <c r="G20" s="20"/>
      <c r="H20" s="3"/>
      <c r="I20" s="3"/>
      <c r="J20" s="25">
        <v>0</v>
      </c>
      <c r="K20" s="20"/>
      <c r="L20" s="3"/>
      <c r="M20" s="3"/>
      <c r="N20" s="25">
        <v>0</v>
      </c>
      <c r="O20" s="23"/>
    </row>
    <row r="21">
      <c r="A21" s="20" t="s">
        <v>49</v>
      </c>
      <c r="B21" s="20" t="s">
        <v>48</v>
      </c>
      <c r="C21" s="21">
        <v>19</v>
      </c>
      <c r="D21" s="26">
        <v>417</v>
      </c>
      <c r="E21" s="3">
        <v>108</v>
      </c>
      <c r="F21" s="25">
        <v>0.000855684</v>
      </c>
      <c r="G21" s="21">
        <v>19</v>
      </c>
      <c r="H21" s="26">
        <v>417</v>
      </c>
      <c r="I21" s="3">
        <v>104</v>
      </c>
      <c r="J21" s="25">
        <v>0.00082399199999999995</v>
      </c>
      <c r="K21" s="21">
        <v>19</v>
      </c>
      <c r="L21" s="26">
        <v>417</v>
      </c>
      <c r="M21" s="3">
        <v>100</v>
      </c>
      <c r="N21" s="25">
        <v>0.00079230000000000001</v>
      </c>
      <c r="O21" s="23"/>
    </row>
    <row r="22">
      <c r="A22" s="20" t="s">
        <v>50</v>
      </c>
      <c r="B22" s="20" t="s">
        <v>48</v>
      </c>
      <c r="C22" s="21">
        <v>1.5</v>
      </c>
      <c r="D22" s="21">
        <v>6465</v>
      </c>
      <c r="E22" s="20">
        <v>464</v>
      </c>
      <c r="F22" s="25">
        <v>0.0044996400000000001</v>
      </c>
      <c r="G22" s="21">
        <v>1.5</v>
      </c>
      <c r="H22" s="21">
        <v>6465</v>
      </c>
      <c r="I22" s="20">
        <v>464</v>
      </c>
      <c r="J22" s="25">
        <v>0.0044996400000000001</v>
      </c>
      <c r="K22" s="21">
        <v>1.5</v>
      </c>
      <c r="L22" s="21">
        <v>6465</v>
      </c>
      <c r="M22" s="20">
        <v>424</v>
      </c>
      <c r="N22" s="25">
        <v>0.00411174</v>
      </c>
      <c r="O22" s="23"/>
    </row>
    <row r="23">
      <c r="A23" s="3" t="s">
        <v>47</v>
      </c>
      <c r="B23" s="20"/>
      <c r="C23" s="20"/>
      <c r="D23" s="20"/>
      <c r="E23" s="3"/>
      <c r="F23" s="25">
        <v>0.012877186000000001</v>
      </c>
      <c r="G23" s="20"/>
      <c r="H23" s="20"/>
      <c r="I23" s="3"/>
      <c r="J23" s="25">
        <v>0.02232924</v>
      </c>
      <c r="K23" s="20"/>
      <c r="L23" s="20"/>
      <c r="M23" s="3"/>
      <c r="N23" s="25">
        <v>0.0126999225</v>
      </c>
      <c r="O23" s="23">
        <v>0.047906348500000001</v>
      </c>
    </row>
    <row r="24">
      <c r="A24" s="3" t="s">
        <v>39</v>
      </c>
      <c r="B24" s="20" t="s">
        <v>51</v>
      </c>
      <c r="C24" s="20">
        <v>1.5</v>
      </c>
      <c r="D24" s="3">
        <v>3253</v>
      </c>
      <c r="E24" s="3">
        <v>644</v>
      </c>
      <c r="F24" s="25">
        <v>0.0031423979999999998</v>
      </c>
      <c r="G24" s="20">
        <v>1.5</v>
      </c>
      <c r="H24" s="3">
        <v>3253</v>
      </c>
      <c r="I24" s="3">
        <v>624</v>
      </c>
      <c r="J24" s="25">
        <v>0.003044808</v>
      </c>
      <c r="K24" s="20">
        <v>1.5</v>
      </c>
      <c r="L24" s="3">
        <v>3253</v>
      </c>
      <c r="M24" s="3">
        <v>571</v>
      </c>
      <c r="N24" s="25">
        <v>0.0027861944999999998</v>
      </c>
      <c r="O24" s="23">
        <v>0.0088999999999999999</v>
      </c>
    </row>
    <row r="25">
      <c r="A25" s="20" t="s">
        <v>45</v>
      </c>
      <c r="B25" s="20" t="s">
        <v>51</v>
      </c>
      <c r="C25" s="20">
        <v>1.5</v>
      </c>
      <c r="D25" s="3">
        <v>827</v>
      </c>
      <c r="E25" s="3">
        <v>232</v>
      </c>
      <c r="F25" s="25">
        <v>0.00028779599999999999</v>
      </c>
      <c r="G25" s="20">
        <v>1.5</v>
      </c>
      <c r="H25" s="3">
        <v>827</v>
      </c>
      <c r="I25" s="3">
        <v>224</v>
      </c>
      <c r="J25" s="25">
        <v>0.00027787200000000003</v>
      </c>
      <c r="K25" s="20">
        <v>1.5</v>
      </c>
      <c r="L25" s="3">
        <v>827</v>
      </c>
      <c r="M25" s="3">
        <v>216</v>
      </c>
      <c r="N25" s="25">
        <v>0.000267948</v>
      </c>
      <c r="O25" s="23">
        <v>0.00089999999999999998</v>
      </c>
    </row>
    <row r="26">
      <c r="A26" s="20" t="s">
        <v>46</v>
      </c>
      <c r="B26" s="20" t="s">
        <v>51</v>
      </c>
      <c r="C26" s="20"/>
      <c r="D26" s="3"/>
      <c r="E26" s="3"/>
      <c r="F26" s="25"/>
      <c r="G26" s="20"/>
      <c r="H26" s="3"/>
      <c r="I26" s="3"/>
      <c r="J26" s="25"/>
      <c r="K26" s="20"/>
      <c r="L26" s="3"/>
      <c r="M26" s="3"/>
      <c r="N26" s="25"/>
      <c r="O26" s="23"/>
    </row>
    <row r="27">
      <c r="A27" s="20" t="s">
        <v>47</v>
      </c>
      <c r="B27" s="20"/>
      <c r="C27" s="20"/>
      <c r="D27" s="20"/>
      <c r="E27" s="3"/>
      <c r="F27" s="25">
        <v>0.0034301940000000001</v>
      </c>
      <c r="G27" s="20"/>
      <c r="H27" s="20"/>
      <c r="I27" s="3"/>
      <c r="J27" s="25">
        <v>0.0033226800000000002</v>
      </c>
      <c r="K27" s="20"/>
      <c r="L27" s="20"/>
      <c r="M27" s="3"/>
      <c r="N27" s="27">
        <v>0.0030541424999999999</v>
      </c>
      <c r="O27" s="23">
        <v>0.0098070164999999997</v>
      </c>
    </row>
    <row r="28">
      <c r="A28" s="21" t="s">
        <v>52</v>
      </c>
      <c r="B28" s="21" t="s">
        <v>53</v>
      </c>
      <c r="C28" s="21">
        <v>1.6699999999999999</v>
      </c>
      <c r="D28" s="21">
        <v>5861</v>
      </c>
      <c r="E28" s="20">
        <v>252</v>
      </c>
      <c r="F28" s="25">
        <v>0.0024665432400000002</v>
      </c>
      <c r="G28" s="21">
        <v>1.6699999999999999</v>
      </c>
      <c r="H28" s="21">
        <v>5861</v>
      </c>
      <c r="I28" s="20">
        <v>266</v>
      </c>
      <c r="J28" s="25">
        <v>0.0026035734200000001</v>
      </c>
      <c r="K28" s="21">
        <v>1.6699999999999999</v>
      </c>
      <c r="L28" s="21">
        <v>5861</v>
      </c>
      <c r="M28" s="20">
        <v>234</v>
      </c>
      <c r="N28" s="25">
        <v>0.0022903615800000002</v>
      </c>
      <c r="O28" s="23"/>
    </row>
    <row r="29">
      <c r="A29" s="21" t="s">
        <v>39</v>
      </c>
      <c r="B29" s="21" t="s">
        <v>53</v>
      </c>
      <c r="C29" s="21">
        <v>0.12</v>
      </c>
      <c r="D29" s="3">
        <v>3253</v>
      </c>
      <c r="E29" s="21">
        <v>644</v>
      </c>
      <c r="F29" s="25">
        <v>0.00025139184000000001</v>
      </c>
      <c r="G29" s="21">
        <v>0.12</v>
      </c>
      <c r="H29" s="3">
        <v>3253</v>
      </c>
      <c r="I29" s="21">
        <v>624</v>
      </c>
      <c r="J29" s="23">
        <v>0.00024358463999999999</v>
      </c>
      <c r="K29" s="21">
        <v>0.12</v>
      </c>
      <c r="L29" s="3">
        <v>3253</v>
      </c>
      <c r="M29" s="21">
        <v>571</v>
      </c>
      <c r="N29" s="23">
        <v>0.00022289556000000001</v>
      </c>
      <c r="O29" s="23"/>
    </row>
    <row r="30">
      <c r="A30" s="20" t="s">
        <v>47</v>
      </c>
      <c r="B30" s="21"/>
      <c r="C30" s="21"/>
      <c r="D30" s="21"/>
      <c r="E30" s="21"/>
      <c r="F30" s="23">
        <v>0.00271793508</v>
      </c>
      <c r="G30" s="21"/>
      <c r="H30" s="21"/>
      <c r="I30" s="21"/>
      <c r="J30" s="23">
        <v>0.00284715806</v>
      </c>
      <c r="K30" s="21"/>
      <c r="L30" s="21"/>
      <c r="M30" s="21"/>
      <c r="N30" s="23">
        <v>0.00251325714</v>
      </c>
      <c r="O30" s="23">
        <v>0.0080783502800000004</v>
      </c>
    </row>
    <row r="31">
      <c r="A31" s="20" t="s">
        <v>49</v>
      </c>
      <c r="B31" s="20" t="s">
        <v>20</v>
      </c>
      <c r="C31" s="21">
        <v>2.8300000000000001</v>
      </c>
      <c r="D31" s="21">
        <v>417</v>
      </c>
      <c r="E31" s="21">
        <v>108</v>
      </c>
      <c r="F31" s="23">
        <v>0.00012745188</v>
      </c>
      <c r="G31" s="21">
        <v>2.8300000000000001</v>
      </c>
      <c r="H31" s="21">
        <v>417</v>
      </c>
      <c r="I31" s="21">
        <v>104</v>
      </c>
      <c r="J31" s="23">
        <v>0.00012273144</v>
      </c>
      <c r="K31" s="21">
        <v>2.8300000000000001</v>
      </c>
      <c r="L31" s="21">
        <v>417</v>
      </c>
      <c r="M31" s="21">
        <v>100</v>
      </c>
      <c r="N31" s="23">
        <v>0.00011801100000000001</v>
      </c>
      <c r="O31" s="23"/>
    </row>
    <row r="32">
      <c r="A32" s="20" t="s">
        <v>50</v>
      </c>
      <c r="B32" s="20" t="s">
        <v>20</v>
      </c>
      <c r="C32" s="21">
        <v>3.6800000000000002</v>
      </c>
      <c r="D32" s="21">
        <v>6465</v>
      </c>
      <c r="E32" s="21">
        <v>464</v>
      </c>
      <c r="F32" s="23">
        <v>0.0110391168</v>
      </c>
      <c r="G32" s="21">
        <v>3.6800000000000002</v>
      </c>
      <c r="H32" s="21">
        <v>6465</v>
      </c>
      <c r="I32" s="21">
        <v>464</v>
      </c>
      <c r="J32" s="23">
        <v>0.0110391168</v>
      </c>
      <c r="K32" s="21">
        <v>3.6800000000000002</v>
      </c>
      <c r="L32" s="21">
        <v>6465</v>
      </c>
      <c r="M32" s="21">
        <v>424</v>
      </c>
      <c r="N32" s="23">
        <v>0.010087468800000001</v>
      </c>
      <c r="O32" s="23"/>
    </row>
    <row r="33">
      <c r="A33" s="20" t="s">
        <v>54</v>
      </c>
      <c r="B33" s="21"/>
      <c r="C33" s="21"/>
      <c r="D33" s="21"/>
      <c r="E33" s="21"/>
      <c r="F33" s="23">
        <v>0.0111</v>
      </c>
      <c r="G33" s="21"/>
      <c r="H33" s="21"/>
      <c r="I33" s="21"/>
      <c r="J33" s="23">
        <v>0.0111</v>
      </c>
      <c r="K33" s="21"/>
      <c r="L33" s="21"/>
      <c r="M33" s="21"/>
      <c r="N33" s="23">
        <v>0.0102054798</v>
      </c>
      <c r="O33" s="23"/>
    </row>
    <row r="34">
      <c r="A34" s="20" t="s">
        <v>50</v>
      </c>
      <c r="B34" s="20" t="s">
        <v>55</v>
      </c>
      <c r="C34" s="21">
        <v>4.2000000000000002</v>
      </c>
      <c r="D34" s="21">
        <v>6465</v>
      </c>
      <c r="E34" s="21">
        <v>464</v>
      </c>
      <c r="F34" s="23">
        <v>0.012598992</v>
      </c>
      <c r="G34" s="21">
        <v>4.2000000000000002</v>
      </c>
      <c r="H34" s="21">
        <v>6465</v>
      </c>
      <c r="I34" s="21">
        <v>464</v>
      </c>
      <c r="J34" s="23">
        <v>0.012598992</v>
      </c>
      <c r="K34" s="21">
        <v>4.2000000000000002</v>
      </c>
      <c r="L34" s="21">
        <v>6465</v>
      </c>
      <c r="M34" s="21">
        <v>424</v>
      </c>
      <c r="N34" s="23">
        <v>0.011512872</v>
      </c>
      <c r="O34" s="23"/>
    </row>
    <row r="35">
      <c r="A35" s="20" t="s">
        <v>47</v>
      </c>
      <c r="B35" s="20"/>
      <c r="C35" s="21"/>
      <c r="D35" s="21"/>
      <c r="E35" s="21"/>
      <c r="F35" s="23">
        <v>0.012598992</v>
      </c>
      <c r="G35" s="21"/>
      <c r="H35" s="21"/>
      <c r="I35" s="21"/>
      <c r="J35" s="23">
        <v>0.012598992</v>
      </c>
      <c r="K35" s="21"/>
      <c r="L35" s="21"/>
      <c r="M35" s="21"/>
      <c r="N35" s="23">
        <v>0.011512872</v>
      </c>
      <c r="O35" s="23">
        <v>0.036710856</v>
      </c>
    </row>
  </sheetData>
  <mergeCells count="6">
    <mergeCell ref="A2:O2"/>
    <mergeCell ref="C3:F3"/>
    <mergeCell ref="G3:J3"/>
    <mergeCell ref="K3:N3"/>
    <mergeCell ref="A3:A4"/>
    <mergeCell ref="B3:B4"/>
  </mergeCells>
  <printOptions headings="0" gridLines="0"/>
  <pageMargins left="0.30694444444444402" right="0.30694444444444402" top="0.35763888888888901" bottom="0.35763888888888901" header="0.29861111111111094" footer="0.29861111111111094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2021-08-12T05:42:00Z</dcterms:created>
  <dcterms:modified xsi:type="dcterms:W3CDTF">2026-01-25T03:31:45Z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ABFA383FE37E413BB80DDC4427B60B8F</vt:lpwstr>
  </property>
</Properties>
</file>