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 activeTab="1"/>
  </bookViews>
  <sheets>
    <sheet name="废水" sheetId="1" r:id="rId1"/>
    <sheet name="废气" sheetId="3" r:id="rId2"/>
  </sheets>
  <calcPr calcId="144525"/>
</workbook>
</file>

<file path=xl/sharedStrings.xml><?xml version="1.0" encoding="utf-8"?>
<sst xmlns="http://schemas.openxmlformats.org/spreadsheetml/2006/main" count="113" uniqueCount="54">
  <si>
    <t>2023年第4季度废水实际排放量计算结果</t>
  </si>
  <si>
    <t>月份</t>
  </si>
  <si>
    <t>用水量m³</t>
  </si>
  <si>
    <t>排放量m³</t>
  </si>
  <si>
    <t>累计运行时间d</t>
  </si>
  <si>
    <t>流量m³/d</t>
  </si>
  <si>
    <t>排放口</t>
  </si>
  <si>
    <t>污染物名称</t>
  </si>
  <si>
    <t>10月</t>
  </si>
  <si>
    <t>11月</t>
  </si>
  <si>
    <t>12月</t>
  </si>
  <si>
    <t>合计</t>
  </si>
  <si>
    <t>浓度mg/L</t>
  </si>
  <si>
    <t>实际排放量t</t>
  </si>
  <si>
    <t>总排放口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</si>
  <si>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</si>
  <si>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</si>
  <si>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</si>
  <si>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</si>
  <si>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</si>
  <si>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</si>
  <si>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</si>
  <si>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</si>
  <si>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</si>
  <si>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</si>
  <si>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</si>
  <si>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</si>
  <si>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>Ph</t>
  </si>
  <si>
    <t>2023年第4季度废气实际排放量计算结果</t>
  </si>
  <si>
    <t>浓度mg/m³</t>
  </si>
  <si>
    <t>排气量m³/h</t>
  </si>
  <si>
    <t>累计运行时间h</t>
  </si>
  <si>
    <t>背层</t>
  </si>
  <si>
    <t>颗粒物</t>
  </si>
  <si>
    <t>面层</t>
  </si>
  <si>
    <t>面层二层</t>
  </si>
  <si>
    <t>中频炉</t>
  </si>
  <si>
    <t>焙烧炉</t>
  </si>
  <si>
    <t>切割</t>
  </si>
  <si>
    <t>喷砂北</t>
  </si>
  <si>
    <t>喷砂南</t>
  </si>
  <si>
    <t>精磨</t>
  </si>
  <si>
    <t>抛光</t>
  </si>
  <si>
    <t>燃气锅炉</t>
  </si>
  <si>
    <t>真空热水锅炉</t>
  </si>
  <si>
    <t>总计</t>
  </si>
  <si>
    <t>NOX</t>
  </si>
  <si>
    <t>装配酸雾塔</t>
  </si>
  <si>
    <t>后整理酸雾塔</t>
  </si>
  <si>
    <t>SO2</t>
  </si>
  <si>
    <t>组树</t>
  </si>
  <si>
    <t>VOC</t>
  </si>
  <si>
    <t>小计</t>
  </si>
  <si>
    <t>氯化氢</t>
  </si>
</sst>
</file>

<file path=xl/styles.xml><?xml version="1.0" encoding="utf-8"?>
<styleSheet xmlns="http://schemas.openxmlformats.org/spreadsheetml/2006/main">
  <numFmts count="9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;[Red]0"/>
    <numFmt numFmtId="177" formatCode="0.0000;[Red]0.0000"/>
    <numFmt numFmtId="178" formatCode="0.0000_ "/>
    <numFmt numFmtId="179" formatCode="0.00000_ "/>
    <numFmt numFmtId="180" formatCode="0.000000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1" fillId="24" borderId="12" applyNumberFormat="0" applyAlignment="0" applyProtection="0">
      <alignment vertical="center"/>
    </xf>
    <xf numFmtId="0" fontId="22" fillId="24" borderId="7" applyNumberFormat="0" applyAlignment="0" applyProtection="0">
      <alignment vertical="center"/>
    </xf>
    <xf numFmtId="0" fontId="7" fillId="4" borderId="6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178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opLeftCell="A10" workbookViewId="0">
      <selection activeCell="G31" sqref="G31"/>
    </sheetView>
  </sheetViews>
  <sheetFormatPr defaultColWidth="9" defaultRowHeight="13.5"/>
  <cols>
    <col min="1" max="1" width="7.25" customWidth="1"/>
    <col min="2" max="2" width="9.375" customWidth="1"/>
    <col min="3" max="3" width="7.75" customWidth="1"/>
    <col min="4" max="4" width="7.25" customWidth="1"/>
    <col min="5" max="5" width="9.5" customWidth="1"/>
    <col min="6" max="6" width="9.375" customWidth="1"/>
    <col min="10" max="10" width="9.25"/>
    <col min="14" max="14" width="9.25"/>
    <col min="15" max="15" width="10.125"/>
  </cols>
  <sheetData>
    <row r="1" customHeight="1"/>
    <row r="3" ht="20.25" spans="1:1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ht="24" spans="1:8">
      <c r="A5" s="9" t="s">
        <v>1</v>
      </c>
      <c r="B5" s="9" t="s">
        <v>2</v>
      </c>
      <c r="C5" s="9" t="s">
        <v>3</v>
      </c>
      <c r="D5" s="2" t="s">
        <v>4</v>
      </c>
      <c r="E5" s="2" t="s">
        <v>5</v>
      </c>
      <c r="F5" s="10"/>
      <c r="G5" s="10"/>
      <c r="H5" s="10"/>
    </row>
    <row r="6" spans="1:8">
      <c r="A6" s="11">
        <v>10</v>
      </c>
      <c r="B6" s="12">
        <v>3664</v>
      </c>
      <c r="C6" s="11">
        <v>1274</v>
      </c>
      <c r="D6" s="11">
        <v>23</v>
      </c>
      <c r="E6" s="13">
        <f>C6/D6</f>
        <v>55.3913043478261</v>
      </c>
      <c r="F6" s="10"/>
      <c r="G6" s="10"/>
      <c r="H6" s="10"/>
    </row>
    <row r="7" spans="1:8">
      <c r="A7" s="11">
        <v>11</v>
      </c>
      <c r="B7" s="12">
        <v>4017</v>
      </c>
      <c r="C7" s="11">
        <v>1397</v>
      </c>
      <c r="D7" s="11">
        <v>29</v>
      </c>
      <c r="E7" s="13">
        <f>C7/D7</f>
        <v>48.1724137931034</v>
      </c>
      <c r="F7" s="10"/>
      <c r="G7" s="10"/>
      <c r="H7" s="10"/>
    </row>
    <row r="8" spans="1:8">
      <c r="A8" s="11">
        <v>12</v>
      </c>
      <c r="B8" s="12">
        <v>3153</v>
      </c>
      <c r="C8" s="11">
        <v>1098</v>
      </c>
      <c r="D8" s="11">
        <v>28</v>
      </c>
      <c r="E8" s="13">
        <f>C8/D8</f>
        <v>39.2142857142857</v>
      </c>
      <c r="F8" s="10"/>
      <c r="G8" s="10"/>
      <c r="H8" s="10"/>
    </row>
    <row r="12" spans="1:15">
      <c r="A12" s="2" t="s">
        <v>6</v>
      </c>
      <c r="B12" s="2" t="s">
        <v>7</v>
      </c>
      <c r="C12" s="2" t="s">
        <v>8</v>
      </c>
      <c r="D12" s="2"/>
      <c r="E12" s="2"/>
      <c r="F12" s="2"/>
      <c r="G12" s="2" t="s">
        <v>9</v>
      </c>
      <c r="H12" s="2"/>
      <c r="I12" s="2"/>
      <c r="J12" s="2"/>
      <c r="K12" s="2" t="s">
        <v>10</v>
      </c>
      <c r="L12" s="2"/>
      <c r="M12" s="2"/>
      <c r="N12" s="2"/>
      <c r="O12" s="2" t="s">
        <v>11</v>
      </c>
    </row>
    <row r="13" ht="24" spans="1:15">
      <c r="A13" s="2"/>
      <c r="B13" s="2"/>
      <c r="C13" s="2" t="s">
        <v>12</v>
      </c>
      <c r="D13" s="2" t="s">
        <v>5</v>
      </c>
      <c r="E13" s="2" t="s">
        <v>4</v>
      </c>
      <c r="F13" s="2" t="s">
        <v>13</v>
      </c>
      <c r="G13" s="2" t="s">
        <v>12</v>
      </c>
      <c r="H13" s="2" t="s">
        <v>5</v>
      </c>
      <c r="I13" s="2" t="s">
        <v>4</v>
      </c>
      <c r="J13" s="2" t="s">
        <v>13</v>
      </c>
      <c r="K13" s="2" t="s">
        <v>12</v>
      </c>
      <c r="L13" s="2" t="s">
        <v>5</v>
      </c>
      <c r="M13" s="2" t="s">
        <v>4</v>
      </c>
      <c r="N13" s="2" t="s">
        <v>13</v>
      </c>
      <c r="O13" s="2"/>
    </row>
    <row r="14" spans="1:15">
      <c r="A14" s="2" t="s">
        <v>14</v>
      </c>
      <c r="B14" s="2" t="s">
        <v>15</v>
      </c>
      <c r="C14" s="2">
        <v>75</v>
      </c>
      <c r="D14" s="11">
        <v>55</v>
      </c>
      <c r="E14" s="11">
        <v>23</v>
      </c>
      <c r="F14" s="4">
        <f>C14*D14*E14/1000000</f>
        <v>0.094875</v>
      </c>
      <c r="G14" s="2">
        <v>75</v>
      </c>
      <c r="H14" s="11">
        <v>48</v>
      </c>
      <c r="I14" s="11">
        <v>29</v>
      </c>
      <c r="J14" s="4">
        <f>G14*H14*I14/1000000</f>
        <v>0.1044</v>
      </c>
      <c r="K14" s="2">
        <v>75</v>
      </c>
      <c r="L14" s="11">
        <v>39</v>
      </c>
      <c r="M14" s="11">
        <v>28</v>
      </c>
      <c r="N14" s="4">
        <f>K14*L14*M14/1000000</f>
        <v>0.0819</v>
      </c>
      <c r="O14" s="4">
        <f>F14+J14+N14</f>
        <v>0.281175</v>
      </c>
    </row>
    <row r="15" spans="1:15">
      <c r="A15" s="2"/>
      <c r="B15" s="2" t="s">
        <v>16</v>
      </c>
      <c r="C15" s="2">
        <v>6.32</v>
      </c>
      <c r="D15" s="11">
        <v>55</v>
      </c>
      <c r="E15" s="11">
        <v>23</v>
      </c>
      <c r="F15" s="14">
        <f t="shared" ref="F15:F25" si="0">C15*D15*E15/1000000</f>
        <v>0.0079948</v>
      </c>
      <c r="G15" s="2">
        <v>6.32</v>
      </c>
      <c r="H15" s="11">
        <v>48</v>
      </c>
      <c r="I15" s="11">
        <v>29</v>
      </c>
      <c r="J15" s="14">
        <f t="shared" ref="J15:J25" si="1">G15*H15*I15/1000000</f>
        <v>0.00879744</v>
      </c>
      <c r="K15" s="2">
        <v>6.32</v>
      </c>
      <c r="L15" s="11">
        <v>39</v>
      </c>
      <c r="M15" s="11">
        <v>28</v>
      </c>
      <c r="N15" s="14">
        <f t="shared" ref="N15:N25" si="2">K15*L15*M15/1000000</f>
        <v>0.00690144</v>
      </c>
      <c r="O15" s="14">
        <f t="shared" ref="O15:O25" si="3">F15+J15+N15</f>
        <v>0.02369368</v>
      </c>
    </row>
    <row r="16" spans="1:15">
      <c r="A16" s="2"/>
      <c r="B16" s="2" t="s">
        <v>17</v>
      </c>
      <c r="C16" s="2">
        <v>0.151</v>
      </c>
      <c r="D16" s="11">
        <v>55</v>
      </c>
      <c r="E16" s="11">
        <v>23</v>
      </c>
      <c r="F16" s="14">
        <f t="shared" si="0"/>
        <v>0.000191015</v>
      </c>
      <c r="G16" s="2">
        <v>0.151</v>
      </c>
      <c r="H16" s="11">
        <v>48</v>
      </c>
      <c r="I16" s="11">
        <v>29</v>
      </c>
      <c r="J16" s="14">
        <f t="shared" si="1"/>
        <v>0.000210192</v>
      </c>
      <c r="K16" s="2">
        <v>0.151</v>
      </c>
      <c r="L16" s="11">
        <v>39</v>
      </c>
      <c r="M16" s="11">
        <v>28</v>
      </c>
      <c r="N16" s="14">
        <f t="shared" si="2"/>
        <v>0.000164892</v>
      </c>
      <c r="O16" s="14">
        <v>0.00056</v>
      </c>
    </row>
    <row r="17" spans="1:15">
      <c r="A17" s="2"/>
      <c r="B17" s="2" t="s">
        <v>18</v>
      </c>
      <c r="C17" s="2">
        <v>0.09</v>
      </c>
      <c r="D17" s="11">
        <v>55</v>
      </c>
      <c r="E17" s="11">
        <v>23</v>
      </c>
      <c r="F17" s="14">
        <f t="shared" si="0"/>
        <v>0.00011385</v>
      </c>
      <c r="G17" s="2">
        <v>0.09</v>
      </c>
      <c r="H17" s="11">
        <v>48</v>
      </c>
      <c r="I17" s="11">
        <v>29</v>
      </c>
      <c r="J17" s="14">
        <f t="shared" si="1"/>
        <v>0.00012528</v>
      </c>
      <c r="K17" s="2">
        <v>0.09</v>
      </c>
      <c r="L17" s="11">
        <v>39</v>
      </c>
      <c r="M17" s="11">
        <v>28</v>
      </c>
      <c r="N17" s="14">
        <f t="shared" si="2"/>
        <v>9.828e-5</v>
      </c>
      <c r="O17" s="14">
        <f>N17+J17+F17</f>
        <v>0.00033741</v>
      </c>
    </row>
    <row r="18" spans="1:15">
      <c r="A18" s="2"/>
      <c r="B18" s="2" t="s">
        <v>19</v>
      </c>
      <c r="C18" s="2">
        <v>21</v>
      </c>
      <c r="D18" s="11">
        <v>55</v>
      </c>
      <c r="E18" s="11">
        <v>23</v>
      </c>
      <c r="F18" s="4">
        <f t="shared" si="0"/>
        <v>0.026565</v>
      </c>
      <c r="G18" s="2">
        <v>21</v>
      </c>
      <c r="H18" s="11">
        <v>48</v>
      </c>
      <c r="I18" s="11">
        <v>29</v>
      </c>
      <c r="J18" s="4">
        <f t="shared" si="1"/>
        <v>0.029232</v>
      </c>
      <c r="K18" s="2">
        <v>21</v>
      </c>
      <c r="L18" s="11">
        <v>39</v>
      </c>
      <c r="M18" s="11">
        <v>28</v>
      </c>
      <c r="N18" s="4">
        <f t="shared" si="2"/>
        <v>0.022932</v>
      </c>
      <c r="O18" s="4">
        <f t="shared" si="3"/>
        <v>0.078729</v>
      </c>
    </row>
    <row r="19" spans="1:15">
      <c r="A19" s="2"/>
      <c r="B19" s="2" t="s">
        <v>20</v>
      </c>
      <c r="C19" s="2">
        <v>18.4</v>
      </c>
      <c r="D19" s="11">
        <v>55</v>
      </c>
      <c r="E19" s="11">
        <v>23</v>
      </c>
      <c r="F19" s="4">
        <f t="shared" si="0"/>
        <v>0.023276</v>
      </c>
      <c r="G19" s="2">
        <v>18.4</v>
      </c>
      <c r="H19" s="11">
        <v>48</v>
      </c>
      <c r="I19" s="11">
        <v>29</v>
      </c>
      <c r="J19" s="4">
        <f t="shared" si="1"/>
        <v>0.0256128</v>
      </c>
      <c r="K19" s="2">
        <v>18.4</v>
      </c>
      <c r="L19" s="11">
        <v>39</v>
      </c>
      <c r="M19" s="11">
        <v>28</v>
      </c>
      <c r="N19" s="4">
        <f t="shared" si="2"/>
        <v>0.0200928</v>
      </c>
      <c r="O19" s="4">
        <f t="shared" si="3"/>
        <v>0.0689816</v>
      </c>
    </row>
    <row r="20" spans="1:15">
      <c r="A20" s="2"/>
      <c r="B20" s="2" t="s">
        <v>21</v>
      </c>
      <c r="C20" s="2">
        <v>0.025</v>
      </c>
      <c r="D20" s="11">
        <v>55</v>
      </c>
      <c r="E20" s="11">
        <v>23</v>
      </c>
      <c r="F20" s="15">
        <f t="shared" si="0"/>
        <v>3.1625e-5</v>
      </c>
      <c r="G20" s="2">
        <v>0.025</v>
      </c>
      <c r="H20" s="11">
        <v>48</v>
      </c>
      <c r="I20" s="11">
        <v>29</v>
      </c>
      <c r="J20" s="15">
        <f t="shared" si="1"/>
        <v>3.48e-5</v>
      </c>
      <c r="K20" s="2">
        <v>0.025</v>
      </c>
      <c r="L20" s="11">
        <v>39</v>
      </c>
      <c r="M20" s="11">
        <v>28</v>
      </c>
      <c r="N20" s="15">
        <f t="shared" si="2"/>
        <v>2.73e-5</v>
      </c>
      <c r="O20" s="15">
        <f>N20+J20+F20</f>
        <v>9.3725e-5</v>
      </c>
    </row>
    <row r="21" spans="1:15">
      <c r="A21" s="2"/>
      <c r="B21" s="2" t="s">
        <v>22</v>
      </c>
      <c r="C21" s="2">
        <v>0.3</v>
      </c>
      <c r="D21" s="11">
        <v>55</v>
      </c>
      <c r="E21" s="11">
        <v>23</v>
      </c>
      <c r="F21" s="15">
        <f t="shared" si="0"/>
        <v>0.0003795</v>
      </c>
      <c r="G21" s="2">
        <v>0.3</v>
      </c>
      <c r="H21" s="11">
        <v>48</v>
      </c>
      <c r="I21" s="11">
        <v>29</v>
      </c>
      <c r="J21" s="15">
        <f t="shared" si="1"/>
        <v>0.0004176</v>
      </c>
      <c r="K21" s="2">
        <v>0.3</v>
      </c>
      <c r="L21" s="11">
        <v>39</v>
      </c>
      <c r="M21" s="11">
        <v>28</v>
      </c>
      <c r="N21" s="15">
        <f t="shared" si="2"/>
        <v>0.0003276</v>
      </c>
      <c r="O21" s="15">
        <v>0.001126</v>
      </c>
    </row>
    <row r="22" spans="1:15">
      <c r="A22" s="2"/>
      <c r="B22" s="2" t="s">
        <v>23</v>
      </c>
      <c r="C22" s="2">
        <v>0.349</v>
      </c>
      <c r="D22" s="11">
        <v>55</v>
      </c>
      <c r="E22" s="11">
        <v>23</v>
      </c>
      <c r="F22" s="15">
        <f t="shared" si="0"/>
        <v>0.000441485</v>
      </c>
      <c r="G22" s="2">
        <v>0.349</v>
      </c>
      <c r="H22" s="11">
        <v>48</v>
      </c>
      <c r="I22" s="11">
        <v>29</v>
      </c>
      <c r="J22" s="15">
        <f t="shared" si="1"/>
        <v>0.000485808</v>
      </c>
      <c r="K22" s="2">
        <v>0.349</v>
      </c>
      <c r="L22" s="11">
        <v>39</v>
      </c>
      <c r="M22" s="11">
        <v>28</v>
      </c>
      <c r="N22" s="15">
        <f t="shared" si="2"/>
        <v>0.000381108</v>
      </c>
      <c r="O22" s="15">
        <f>N22+J22+F22</f>
        <v>0.001308401</v>
      </c>
    </row>
    <row r="23" spans="1:15">
      <c r="A23" s="2"/>
      <c r="B23" s="2" t="s">
        <v>24</v>
      </c>
      <c r="C23" s="2">
        <v>18.2</v>
      </c>
      <c r="D23" s="11">
        <v>55</v>
      </c>
      <c r="E23" s="11">
        <v>23</v>
      </c>
      <c r="F23" s="4">
        <f t="shared" si="0"/>
        <v>0.023023</v>
      </c>
      <c r="G23" s="2">
        <v>18.2</v>
      </c>
      <c r="H23" s="11">
        <v>48</v>
      </c>
      <c r="I23" s="11">
        <v>29</v>
      </c>
      <c r="J23" s="4">
        <f t="shared" si="1"/>
        <v>0.0253344</v>
      </c>
      <c r="K23" s="2">
        <v>18.2</v>
      </c>
      <c r="L23" s="11">
        <v>39</v>
      </c>
      <c r="M23" s="11">
        <v>28</v>
      </c>
      <c r="N23" s="4">
        <f t="shared" si="2"/>
        <v>0.0198744</v>
      </c>
      <c r="O23" s="4">
        <f t="shared" si="3"/>
        <v>0.0682318</v>
      </c>
    </row>
    <row r="24" spans="1:15">
      <c r="A24" s="2"/>
      <c r="B24" s="2" t="s">
        <v>25</v>
      </c>
      <c r="C24" s="2">
        <v>56.9</v>
      </c>
      <c r="D24" s="11">
        <v>55</v>
      </c>
      <c r="E24" s="11">
        <v>23</v>
      </c>
      <c r="F24" s="4">
        <f t="shared" si="0"/>
        <v>0.0719785</v>
      </c>
      <c r="G24" s="2">
        <v>56.9</v>
      </c>
      <c r="H24" s="11">
        <v>48</v>
      </c>
      <c r="I24" s="11">
        <v>29</v>
      </c>
      <c r="J24" s="4">
        <f t="shared" si="1"/>
        <v>0.0792048</v>
      </c>
      <c r="K24" s="2">
        <v>56.9</v>
      </c>
      <c r="L24" s="11">
        <v>39</v>
      </c>
      <c r="M24" s="11">
        <v>28</v>
      </c>
      <c r="N24" s="4">
        <f t="shared" si="2"/>
        <v>0.0621348</v>
      </c>
      <c r="O24" s="4">
        <f t="shared" si="3"/>
        <v>0.2133181</v>
      </c>
    </row>
    <row r="25" spans="1:15">
      <c r="A25" s="2"/>
      <c r="B25" s="2" t="s">
        <v>26</v>
      </c>
      <c r="C25" s="2">
        <v>2.98</v>
      </c>
      <c r="D25" s="11">
        <v>55</v>
      </c>
      <c r="E25" s="11">
        <v>23</v>
      </c>
      <c r="F25" s="4">
        <f t="shared" si="0"/>
        <v>0.0037697</v>
      </c>
      <c r="G25" s="2">
        <v>2.98</v>
      </c>
      <c r="H25" s="11">
        <v>48</v>
      </c>
      <c r="I25" s="11">
        <v>29</v>
      </c>
      <c r="J25" s="4">
        <f t="shared" si="1"/>
        <v>0.00414816</v>
      </c>
      <c r="K25" s="2">
        <v>2.98</v>
      </c>
      <c r="L25" s="11">
        <v>39</v>
      </c>
      <c r="M25" s="11">
        <v>28</v>
      </c>
      <c r="N25" s="4">
        <f t="shared" si="2"/>
        <v>0.00325416</v>
      </c>
      <c r="O25" s="4">
        <f t="shared" si="3"/>
        <v>0.01117202</v>
      </c>
    </row>
    <row r="26" spans="1:15">
      <c r="A26" s="9"/>
      <c r="B26" s="9" t="s">
        <v>27</v>
      </c>
      <c r="C26" s="16">
        <v>7.6</v>
      </c>
      <c r="D26" s="17"/>
      <c r="E26" s="17"/>
      <c r="F26" s="18"/>
      <c r="G26" s="16">
        <v>7.6</v>
      </c>
      <c r="H26" s="17"/>
      <c r="I26" s="17"/>
      <c r="J26" s="18"/>
      <c r="K26" s="16">
        <v>7.6</v>
      </c>
      <c r="L26" s="17"/>
      <c r="M26" s="17"/>
      <c r="N26" s="18"/>
      <c r="O26" s="9"/>
    </row>
  </sheetData>
  <mergeCells count="10">
    <mergeCell ref="A3:O3"/>
    <mergeCell ref="C12:F12"/>
    <mergeCell ref="G12:J12"/>
    <mergeCell ref="K12:N12"/>
    <mergeCell ref="C26:F26"/>
    <mergeCell ref="G26:J26"/>
    <mergeCell ref="K26:N26"/>
    <mergeCell ref="A12:A13"/>
    <mergeCell ref="B12:B13"/>
    <mergeCell ref="O12:O13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Q37"/>
  <sheetViews>
    <sheetView tabSelected="1" topLeftCell="C4" workbookViewId="0">
      <selection activeCell="L17" sqref="L17"/>
    </sheetView>
  </sheetViews>
  <sheetFormatPr defaultColWidth="9" defaultRowHeight="13.5"/>
  <cols>
    <col min="5" max="5" width="7.5" customWidth="1"/>
    <col min="6" max="6" width="8" customWidth="1"/>
    <col min="7" max="7" width="7.875" customWidth="1"/>
    <col min="8" max="8" width="7.125" customWidth="1"/>
    <col min="9" max="10" width="7.5" customWidth="1"/>
    <col min="11" max="11" width="7.375" customWidth="1"/>
    <col min="12" max="12" width="7.5" customWidth="1"/>
    <col min="13" max="13" width="7.625" customWidth="1"/>
    <col min="14" max="14" width="7.875" customWidth="1"/>
    <col min="15" max="15" width="8.125" customWidth="1"/>
    <col min="17" max="17" width="7.5" customWidth="1"/>
  </cols>
  <sheetData>
    <row r="4" ht="20.25" spans="3:17">
      <c r="C4" s="1" t="s">
        <v>28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3:17">
      <c r="C5" s="2" t="s">
        <v>6</v>
      </c>
      <c r="D5" s="2" t="s">
        <v>7</v>
      </c>
      <c r="E5" s="3" t="s">
        <v>8</v>
      </c>
      <c r="F5" s="3"/>
      <c r="G5" s="3"/>
      <c r="H5" s="3"/>
      <c r="I5" s="3" t="s">
        <v>9</v>
      </c>
      <c r="J5" s="3"/>
      <c r="K5" s="3"/>
      <c r="L5" s="3"/>
      <c r="M5" s="3" t="s">
        <v>10</v>
      </c>
      <c r="N5" s="3"/>
      <c r="O5" s="3"/>
      <c r="P5" s="3"/>
      <c r="Q5" s="7" t="s">
        <v>11</v>
      </c>
    </row>
    <row r="6" ht="30" customHeight="1" spans="3:17">
      <c r="C6" s="2"/>
      <c r="D6" s="2"/>
      <c r="E6" s="2" t="s">
        <v>29</v>
      </c>
      <c r="F6" s="2" t="s">
        <v>30</v>
      </c>
      <c r="G6" s="2" t="s">
        <v>31</v>
      </c>
      <c r="H6" s="2" t="s">
        <v>13</v>
      </c>
      <c r="I6" s="2" t="s">
        <v>29</v>
      </c>
      <c r="J6" s="2" t="s">
        <v>30</v>
      </c>
      <c r="K6" s="2" t="s">
        <v>31</v>
      </c>
      <c r="L6" s="2" t="s">
        <v>13</v>
      </c>
      <c r="M6" s="2" t="s">
        <v>29</v>
      </c>
      <c r="N6" s="2" t="s">
        <v>30</v>
      </c>
      <c r="O6" s="2" t="s">
        <v>31</v>
      </c>
      <c r="P6" s="2" t="s">
        <v>13</v>
      </c>
      <c r="Q6" s="7"/>
    </row>
    <row r="7" spans="3:17">
      <c r="C7" s="2" t="s">
        <v>32</v>
      </c>
      <c r="D7" s="2" t="s">
        <v>33</v>
      </c>
      <c r="E7" s="2">
        <v>3.3</v>
      </c>
      <c r="F7" s="2">
        <v>7737</v>
      </c>
      <c r="G7" s="2">
        <v>240</v>
      </c>
      <c r="H7" s="4">
        <f t="shared" ref="H7:H17" si="0">E7*F7*G7/1000000000</f>
        <v>0.006127704</v>
      </c>
      <c r="I7" s="2">
        <v>3.3</v>
      </c>
      <c r="J7" s="2">
        <v>7737</v>
      </c>
      <c r="K7" s="2">
        <v>300</v>
      </c>
      <c r="L7" s="4">
        <f t="shared" ref="L7:L18" si="1">I7*J7*K7/1000000000</f>
        <v>0.00765963</v>
      </c>
      <c r="M7" s="2">
        <v>3.3</v>
      </c>
      <c r="N7" s="2">
        <v>7737</v>
      </c>
      <c r="O7" s="2">
        <v>260</v>
      </c>
      <c r="P7" s="4">
        <f t="shared" ref="P7:P18" si="2">M7*N7*O7/1000000000</f>
        <v>0.006638346</v>
      </c>
      <c r="Q7" s="8"/>
    </row>
    <row r="8" spans="3:17">
      <c r="C8" s="2" t="s">
        <v>34</v>
      </c>
      <c r="D8" s="2" t="s">
        <v>33</v>
      </c>
      <c r="E8" s="2">
        <v>2.5</v>
      </c>
      <c r="F8" s="2">
        <v>5981</v>
      </c>
      <c r="G8" s="2">
        <v>448</v>
      </c>
      <c r="H8" s="4">
        <f t="shared" si="0"/>
        <v>0.00669872</v>
      </c>
      <c r="I8" s="2">
        <v>2.5</v>
      </c>
      <c r="J8" s="2">
        <v>5981</v>
      </c>
      <c r="K8" s="2">
        <v>496</v>
      </c>
      <c r="L8" s="4">
        <f t="shared" si="1"/>
        <v>0.00741644</v>
      </c>
      <c r="M8" s="2">
        <v>2.5</v>
      </c>
      <c r="N8" s="2">
        <v>5981</v>
      </c>
      <c r="O8" s="2">
        <v>424</v>
      </c>
      <c r="P8" s="4">
        <f t="shared" si="2"/>
        <v>0.00633986</v>
      </c>
      <c r="Q8" s="8"/>
    </row>
    <row r="9" spans="3:17">
      <c r="C9" s="2" t="s">
        <v>35</v>
      </c>
      <c r="D9" s="2" t="s">
        <v>33</v>
      </c>
      <c r="E9" s="2">
        <v>2.8</v>
      </c>
      <c r="F9" s="2">
        <v>7955</v>
      </c>
      <c r="G9" s="2">
        <v>448</v>
      </c>
      <c r="H9" s="4">
        <f t="shared" si="0"/>
        <v>0.009978752</v>
      </c>
      <c r="I9" s="2">
        <v>2.8</v>
      </c>
      <c r="J9" s="2">
        <v>7955</v>
      </c>
      <c r="K9" s="2">
        <v>688</v>
      </c>
      <c r="L9" s="4">
        <f t="shared" si="1"/>
        <v>0.015324512</v>
      </c>
      <c r="M9" s="2">
        <v>2.8</v>
      </c>
      <c r="N9" s="2">
        <v>7955</v>
      </c>
      <c r="O9" s="2">
        <v>536</v>
      </c>
      <c r="P9" s="4">
        <f t="shared" si="2"/>
        <v>0.011938864</v>
      </c>
      <c r="Q9" s="8"/>
    </row>
    <row r="10" spans="3:17">
      <c r="C10" s="2" t="s">
        <v>36</v>
      </c>
      <c r="D10" s="2" t="s">
        <v>33</v>
      </c>
      <c r="E10" s="2">
        <v>3.2</v>
      </c>
      <c r="F10" s="2">
        <v>7010</v>
      </c>
      <c r="G10" s="2">
        <v>475</v>
      </c>
      <c r="H10" s="4">
        <f t="shared" si="0"/>
        <v>0.0106552</v>
      </c>
      <c r="I10" s="2">
        <v>3.2</v>
      </c>
      <c r="J10" s="2">
        <v>7010</v>
      </c>
      <c r="K10" s="2">
        <v>628</v>
      </c>
      <c r="L10" s="4">
        <f t="shared" si="1"/>
        <v>0.014087296</v>
      </c>
      <c r="M10" s="2">
        <v>3.2</v>
      </c>
      <c r="N10" s="2">
        <v>7010</v>
      </c>
      <c r="O10" s="2">
        <v>552</v>
      </c>
      <c r="P10" s="4">
        <f t="shared" si="2"/>
        <v>0.012382464</v>
      </c>
      <c r="Q10" s="8"/>
    </row>
    <row r="11" spans="3:17">
      <c r="C11" s="2" t="s">
        <v>37</v>
      </c>
      <c r="D11" s="2" t="s">
        <v>33</v>
      </c>
      <c r="E11" s="2">
        <v>3.5</v>
      </c>
      <c r="F11" s="2">
        <v>4444</v>
      </c>
      <c r="G11" s="2">
        <v>475</v>
      </c>
      <c r="H11" s="4">
        <f t="shared" si="0"/>
        <v>0.00738815</v>
      </c>
      <c r="I11" s="2">
        <v>3.5</v>
      </c>
      <c r="J11" s="2">
        <v>4444</v>
      </c>
      <c r="K11" s="2">
        <v>628</v>
      </c>
      <c r="L11" s="4">
        <f t="shared" si="1"/>
        <v>0.009767912</v>
      </c>
      <c r="M11" s="2">
        <v>3.5</v>
      </c>
      <c r="N11" s="2">
        <v>4444</v>
      </c>
      <c r="O11" s="2">
        <v>552</v>
      </c>
      <c r="P11" s="4">
        <f t="shared" si="2"/>
        <v>0.008585808</v>
      </c>
      <c r="Q11" s="8"/>
    </row>
    <row r="12" spans="3:17">
      <c r="C12" s="2" t="s">
        <v>38</v>
      </c>
      <c r="D12" s="2" t="s">
        <v>33</v>
      </c>
      <c r="E12" s="2">
        <v>3</v>
      </c>
      <c r="F12" s="2">
        <v>16686</v>
      </c>
      <c r="G12" s="2">
        <v>384</v>
      </c>
      <c r="H12" s="4">
        <f t="shared" si="0"/>
        <v>0.019222272</v>
      </c>
      <c r="I12" s="2">
        <v>3</v>
      </c>
      <c r="J12" s="2">
        <v>16686</v>
      </c>
      <c r="K12" s="2">
        <v>480</v>
      </c>
      <c r="L12" s="4">
        <f t="shared" si="1"/>
        <v>0.02402784</v>
      </c>
      <c r="M12" s="2">
        <v>3</v>
      </c>
      <c r="N12" s="2">
        <v>16686</v>
      </c>
      <c r="O12" s="2">
        <v>448</v>
      </c>
      <c r="P12" s="4">
        <f t="shared" si="2"/>
        <v>0.022425984</v>
      </c>
      <c r="Q12" s="8"/>
    </row>
    <row r="13" spans="3:17">
      <c r="C13" s="2" t="s">
        <v>39</v>
      </c>
      <c r="D13" s="2" t="s">
        <v>33</v>
      </c>
      <c r="E13" s="2">
        <v>2.6</v>
      </c>
      <c r="F13" s="2">
        <v>14267</v>
      </c>
      <c r="G13" s="2">
        <v>192</v>
      </c>
      <c r="H13" s="4">
        <f t="shared" si="0"/>
        <v>0.0071220864</v>
      </c>
      <c r="I13" s="2">
        <v>2.6</v>
      </c>
      <c r="J13" s="2">
        <v>14267</v>
      </c>
      <c r="K13" s="2">
        <v>232</v>
      </c>
      <c r="L13" s="4">
        <f t="shared" si="1"/>
        <v>0.0086058544</v>
      </c>
      <c r="M13" s="2">
        <v>2.6</v>
      </c>
      <c r="N13" s="2">
        <v>14267</v>
      </c>
      <c r="O13" s="2">
        <v>224</v>
      </c>
      <c r="P13" s="4">
        <f t="shared" si="2"/>
        <v>0.0083091008</v>
      </c>
      <c r="Q13" s="8"/>
    </row>
    <row r="14" spans="3:17">
      <c r="C14" s="2" t="s">
        <v>40</v>
      </c>
      <c r="D14" s="2" t="s">
        <v>33</v>
      </c>
      <c r="E14" s="2">
        <v>8.7</v>
      </c>
      <c r="F14" s="2">
        <v>10661</v>
      </c>
      <c r="G14" s="2">
        <v>384</v>
      </c>
      <c r="H14" s="4">
        <f t="shared" si="0"/>
        <v>0.0356162688</v>
      </c>
      <c r="I14" s="2">
        <v>8.7</v>
      </c>
      <c r="J14" s="2">
        <v>10661</v>
      </c>
      <c r="K14" s="2">
        <v>480</v>
      </c>
      <c r="L14" s="4">
        <f t="shared" si="1"/>
        <v>0.044520336</v>
      </c>
      <c r="M14" s="2">
        <v>8.7</v>
      </c>
      <c r="N14" s="2">
        <v>10661</v>
      </c>
      <c r="O14" s="2">
        <v>448</v>
      </c>
      <c r="P14" s="4">
        <f t="shared" si="2"/>
        <v>0.0415523136</v>
      </c>
      <c r="Q14" s="8"/>
    </row>
    <row r="15" spans="3:17">
      <c r="C15" s="2" t="s">
        <v>41</v>
      </c>
      <c r="D15" s="2" t="s">
        <v>33</v>
      </c>
      <c r="E15" s="2">
        <v>1.5</v>
      </c>
      <c r="F15" s="2">
        <v>15592</v>
      </c>
      <c r="G15" s="2">
        <v>192</v>
      </c>
      <c r="H15" s="4">
        <f t="shared" si="0"/>
        <v>0.004490496</v>
      </c>
      <c r="I15" s="2">
        <v>1.5</v>
      </c>
      <c r="J15" s="2">
        <v>15592</v>
      </c>
      <c r="K15" s="2">
        <v>240</v>
      </c>
      <c r="L15" s="4">
        <f t="shared" si="1"/>
        <v>0.00561312</v>
      </c>
      <c r="M15" s="2">
        <v>1.5</v>
      </c>
      <c r="N15" s="2">
        <v>15592</v>
      </c>
      <c r="O15" s="2">
        <v>232</v>
      </c>
      <c r="P15" s="4">
        <f t="shared" si="2"/>
        <v>0.005426016</v>
      </c>
      <c r="Q15" s="8"/>
    </row>
    <row r="16" spans="3:17">
      <c r="C16" s="2" t="s">
        <v>42</v>
      </c>
      <c r="D16" s="2" t="s">
        <v>33</v>
      </c>
      <c r="E16" s="2">
        <v>2.5</v>
      </c>
      <c r="F16" s="2">
        <v>15011</v>
      </c>
      <c r="G16" s="2">
        <v>198</v>
      </c>
      <c r="H16" s="4">
        <f t="shared" si="0"/>
        <v>0.007430445</v>
      </c>
      <c r="I16" s="2">
        <v>2.5</v>
      </c>
      <c r="J16" s="2">
        <v>15011</v>
      </c>
      <c r="K16" s="2">
        <v>261</v>
      </c>
      <c r="L16" s="4">
        <f t="shared" si="1"/>
        <v>0.0097946775</v>
      </c>
      <c r="M16" s="2">
        <v>2.5</v>
      </c>
      <c r="N16" s="2">
        <v>15011</v>
      </c>
      <c r="O16" s="2">
        <v>221</v>
      </c>
      <c r="P16" s="4">
        <f t="shared" si="2"/>
        <v>0.0082935775</v>
      </c>
      <c r="Q16" s="8"/>
    </row>
    <row r="17" spans="3:17">
      <c r="C17" s="3" t="s">
        <v>43</v>
      </c>
      <c r="D17" s="2" t="s">
        <v>33</v>
      </c>
      <c r="E17" s="2">
        <v>2.8</v>
      </c>
      <c r="F17" s="2">
        <v>735</v>
      </c>
      <c r="G17" s="2">
        <v>384</v>
      </c>
      <c r="H17" s="4">
        <f t="shared" si="0"/>
        <v>0.000790272</v>
      </c>
      <c r="I17" s="2">
        <v>2.8</v>
      </c>
      <c r="J17" s="2">
        <v>735</v>
      </c>
      <c r="K17" s="2">
        <v>448</v>
      </c>
      <c r="L17" s="4">
        <f t="shared" si="1"/>
        <v>0.000921984</v>
      </c>
      <c r="M17" s="2">
        <v>2.8</v>
      </c>
      <c r="N17" s="2">
        <v>735</v>
      </c>
      <c r="O17" s="2">
        <v>432</v>
      </c>
      <c r="P17" s="4">
        <f t="shared" si="2"/>
        <v>0.000889056</v>
      </c>
      <c r="Q17" s="8"/>
    </row>
    <row r="18" spans="3:17">
      <c r="C18" s="3" t="s">
        <v>44</v>
      </c>
      <c r="D18" s="2" t="s">
        <v>33</v>
      </c>
      <c r="E18" s="2"/>
      <c r="F18" s="2"/>
      <c r="G18" s="2"/>
      <c r="H18" s="4"/>
      <c r="I18" s="2">
        <v>2.6</v>
      </c>
      <c r="J18" s="2">
        <v>1675</v>
      </c>
      <c r="K18" s="2">
        <v>448</v>
      </c>
      <c r="L18" s="4">
        <f t="shared" si="1"/>
        <v>0.00195104</v>
      </c>
      <c r="M18" s="2">
        <v>2.6</v>
      </c>
      <c r="N18" s="2">
        <v>1675</v>
      </c>
      <c r="O18" s="2">
        <v>432</v>
      </c>
      <c r="P18" s="4">
        <f t="shared" si="2"/>
        <v>0.00188136</v>
      </c>
      <c r="Q18" s="8"/>
    </row>
    <row r="19" spans="3:17">
      <c r="C19" s="3" t="s">
        <v>45</v>
      </c>
      <c r="D19" s="5"/>
      <c r="E19" s="2"/>
      <c r="F19" s="2"/>
      <c r="G19" s="2"/>
      <c r="H19" s="4">
        <f>SUM(H7:H18)</f>
        <v>0.1155203662</v>
      </c>
      <c r="I19" s="2"/>
      <c r="J19" s="2"/>
      <c r="K19" s="2"/>
      <c r="L19" s="4">
        <f>SUM(L7:L18)</f>
        <v>0.1496906419</v>
      </c>
      <c r="M19" s="2"/>
      <c r="N19" s="2"/>
      <c r="O19" s="2"/>
      <c r="P19" s="4">
        <f>SUM(P7:P18)</f>
        <v>0.1346627499</v>
      </c>
      <c r="Q19" s="8">
        <f>SUM(H19+L19+P19)</f>
        <v>0.399873758</v>
      </c>
    </row>
    <row r="20" spans="3:17">
      <c r="C20" s="2" t="s">
        <v>37</v>
      </c>
      <c r="D20" s="3" t="s">
        <v>46</v>
      </c>
      <c r="E20" s="3">
        <v>26</v>
      </c>
      <c r="F20" s="2">
        <v>4444</v>
      </c>
      <c r="G20" s="3">
        <v>475</v>
      </c>
      <c r="H20" s="6">
        <f t="shared" ref="H20:H24" si="3">E20*F20*G20/1000000000</f>
        <v>0.0548834</v>
      </c>
      <c r="I20" s="3">
        <v>26</v>
      </c>
      <c r="J20" s="2">
        <v>4444</v>
      </c>
      <c r="K20" s="3">
        <v>628</v>
      </c>
      <c r="L20" s="6">
        <f>K20*J20*I20/1000000000</f>
        <v>0.072561632</v>
      </c>
      <c r="M20" s="3">
        <v>26</v>
      </c>
      <c r="N20" s="2">
        <v>4444</v>
      </c>
      <c r="O20" s="3">
        <v>552</v>
      </c>
      <c r="P20" s="6">
        <f>O20*N20*M20/1000000000</f>
        <v>0.063780288</v>
      </c>
      <c r="Q20" s="8"/>
    </row>
    <row r="21" spans="3:17">
      <c r="C21" s="3" t="s">
        <v>43</v>
      </c>
      <c r="D21" s="3" t="s">
        <v>46</v>
      </c>
      <c r="E21" s="3">
        <v>25</v>
      </c>
      <c r="F21" s="2">
        <v>1365</v>
      </c>
      <c r="G21" s="2">
        <v>384</v>
      </c>
      <c r="H21" s="6">
        <f t="shared" si="3"/>
        <v>0.013104</v>
      </c>
      <c r="I21" s="3">
        <v>56</v>
      </c>
      <c r="J21" s="2">
        <v>735</v>
      </c>
      <c r="K21" s="2">
        <v>448</v>
      </c>
      <c r="L21" s="6">
        <f t="shared" ref="L21:L27" si="4">I21*J21*K21/1000000000</f>
        <v>0.01843968</v>
      </c>
      <c r="M21" s="3">
        <v>54</v>
      </c>
      <c r="N21" s="2">
        <v>1168</v>
      </c>
      <c r="O21" s="2">
        <v>432</v>
      </c>
      <c r="P21" s="6">
        <f t="shared" ref="P21:P27" si="5">M21*N21*O21/1000000000</f>
        <v>0.027247104</v>
      </c>
      <c r="Q21" s="8"/>
    </row>
    <row r="22" spans="3:17">
      <c r="C22" s="3" t="s">
        <v>44</v>
      </c>
      <c r="D22" s="3" t="s">
        <v>46</v>
      </c>
      <c r="E22" s="3"/>
      <c r="F22" s="2"/>
      <c r="G22" s="2"/>
      <c r="H22" s="6"/>
      <c r="I22" s="3">
        <v>26</v>
      </c>
      <c r="J22" s="2">
        <v>1675</v>
      </c>
      <c r="K22" s="2">
        <v>160</v>
      </c>
      <c r="L22" s="6">
        <f>I22*J22*160/1000000000</f>
        <v>0.006968</v>
      </c>
      <c r="M22" s="3">
        <v>42</v>
      </c>
      <c r="N22" s="2">
        <v>1919</v>
      </c>
      <c r="O22" s="2">
        <v>432</v>
      </c>
      <c r="P22" s="6">
        <f>M22*N22*432/1000000000</f>
        <v>0.034818336</v>
      </c>
      <c r="Q22" s="8"/>
    </row>
    <row r="23" spans="3:17">
      <c r="C23" s="3" t="s">
        <v>47</v>
      </c>
      <c r="D23" s="3" t="s">
        <v>46</v>
      </c>
      <c r="E23" s="7"/>
      <c r="F23" s="7"/>
      <c r="G23" s="2"/>
      <c r="H23" s="6">
        <f t="shared" si="3"/>
        <v>0</v>
      </c>
      <c r="I23" s="7">
        <v>1.5</v>
      </c>
      <c r="J23" s="7">
        <v>1686</v>
      </c>
      <c r="K23" s="2">
        <v>41.5</v>
      </c>
      <c r="L23" s="6">
        <f>I23*J23*41.5/1000000000</f>
        <v>0.0001049535</v>
      </c>
      <c r="M23" s="7">
        <v>1.5</v>
      </c>
      <c r="N23" s="7">
        <v>1686</v>
      </c>
      <c r="O23" s="2">
        <v>120</v>
      </c>
      <c r="P23" s="6">
        <f>M23*N23*120/100000000</f>
        <v>0.0030348</v>
      </c>
      <c r="Q23" s="8"/>
    </row>
    <row r="24" spans="3:17">
      <c r="C24" s="3" t="s">
        <v>48</v>
      </c>
      <c r="D24" s="3" t="s">
        <v>46</v>
      </c>
      <c r="E24" s="7">
        <v>26</v>
      </c>
      <c r="F24" s="7">
        <v>7911</v>
      </c>
      <c r="G24" s="3">
        <v>384</v>
      </c>
      <c r="H24" s="6">
        <f t="shared" si="3"/>
        <v>0.078983424</v>
      </c>
      <c r="I24" s="7">
        <v>26</v>
      </c>
      <c r="J24" s="7">
        <v>7911</v>
      </c>
      <c r="K24" s="3">
        <v>448</v>
      </c>
      <c r="L24" s="6">
        <f t="shared" si="4"/>
        <v>0.092147328</v>
      </c>
      <c r="M24" s="7">
        <v>26</v>
      </c>
      <c r="N24" s="7">
        <v>7911</v>
      </c>
      <c r="O24" s="3">
        <v>432</v>
      </c>
      <c r="P24" s="6">
        <f t="shared" si="5"/>
        <v>0.088856352</v>
      </c>
      <c r="Q24" s="8"/>
    </row>
    <row r="25" spans="3:17">
      <c r="C25" s="2" t="s">
        <v>45</v>
      </c>
      <c r="D25" s="3"/>
      <c r="E25" s="3"/>
      <c r="F25" s="3"/>
      <c r="G25" s="2"/>
      <c r="H25" s="6">
        <f>SUM(H20:H24)</f>
        <v>0.146970824</v>
      </c>
      <c r="I25" s="3"/>
      <c r="J25" s="3"/>
      <c r="K25" s="2"/>
      <c r="L25" s="6">
        <f>SUM(L20:L24)</f>
        <v>0.1902215935</v>
      </c>
      <c r="M25" s="3"/>
      <c r="N25" s="3"/>
      <c r="O25" s="2"/>
      <c r="P25" s="6">
        <f>SUM(P20:P24)</f>
        <v>0.21773688</v>
      </c>
      <c r="Q25" s="8">
        <v>0.5549</v>
      </c>
    </row>
    <row r="26" spans="3:17">
      <c r="C26" s="2" t="s">
        <v>37</v>
      </c>
      <c r="D26" s="3" t="s">
        <v>49</v>
      </c>
      <c r="E26" s="3">
        <v>1.5</v>
      </c>
      <c r="F26" s="2">
        <v>4444</v>
      </c>
      <c r="G26" s="2">
        <v>475</v>
      </c>
      <c r="H26" s="6">
        <f t="shared" ref="H26:H31" si="6">E26*F26*G26/1000000000</f>
        <v>0.00316635</v>
      </c>
      <c r="I26" s="3">
        <v>1.5</v>
      </c>
      <c r="J26" s="2">
        <v>4444</v>
      </c>
      <c r="K26" s="2">
        <v>628</v>
      </c>
      <c r="L26" s="6">
        <f t="shared" si="4"/>
        <v>0.004186248</v>
      </c>
      <c r="M26" s="3">
        <v>1.5</v>
      </c>
      <c r="N26" s="2">
        <v>4444</v>
      </c>
      <c r="O26" s="2">
        <v>552</v>
      </c>
      <c r="P26" s="6">
        <f t="shared" si="5"/>
        <v>0.003679632</v>
      </c>
      <c r="Q26" s="8"/>
    </row>
    <row r="27" spans="3:17">
      <c r="C27" s="3" t="s">
        <v>43</v>
      </c>
      <c r="D27" s="3" t="s">
        <v>49</v>
      </c>
      <c r="E27" s="3">
        <v>1.5</v>
      </c>
      <c r="F27" s="2">
        <v>735</v>
      </c>
      <c r="G27" s="2">
        <v>384</v>
      </c>
      <c r="H27" s="6">
        <f t="shared" si="6"/>
        <v>0.00042336</v>
      </c>
      <c r="I27" s="3">
        <v>1.5</v>
      </c>
      <c r="J27" s="2">
        <v>735</v>
      </c>
      <c r="K27" s="2">
        <v>448</v>
      </c>
      <c r="L27" s="6">
        <f t="shared" si="4"/>
        <v>0.00049392</v>
      </c>
      <c r="M27" s="3">
        <v>1.5</v>
      </c>
      <c r="N27" s="2">
        <v>735</v>
      </c>
      <c r="O27" s="2">
        <v>432</v>
      </c>
      <c r="P27" s="6">
        <f t="shared" si="5"/>
        <v>0.00047628</v>
      </c>
      <c r="Q27" s="8"/>
    </row>
    <row r="28" spans="3:17">
      <c r="C28" s="3" t="s">
        <v>44</v>
      </c>
      <c r="D28" s="3" t="s">
        <v>49</v>
      </c>
      <c r="E28" s="3"/>
      <c r="F28" s="2"/>
      <c r="G28" s="2"/>
      <c r="H28" s="6"/>
      <c r="I28" s="3">
        <v>4</v>
      </c>
      <c r="J28" s="2">
        <v>1675</v>
      </c>
      <c r="K28" s="2">
        <v>448</v>
      </c>
      <c r="L28" s="6">
        <f>I28*J28*448/1000000000</f>
        <v>0.0030016</v>
      </c>
      <c r="M28" s="3">
        <v>4</v>
      </c>
      <c r="N28" s="2">
        <v>1675</v>
      </c>
      <c r="O28" s="2">
        <v>432</v>
      </c>
      <c r="P28" s="6">
        <f>M28*N28*432/1000000000</f>
        <v>0.0028944</v>
      </c>
      <c r="Q28" s="8"/>
    </row>
    <row r="29" spans="3:17">
      <c r="C29" s="3" t="s">
        <v>45</v>
      </c>
      <c r="D29" s="3"/>
      <c r="E29" s="3"/>
      <c r="F29" s="3"/>
      <c r="G29" s="2"/>
      <c r="H29" s="6">
        <f>SUM(H26:H28)</f>
        <v>0.00358971</v>
      </c>
      <c r="I29" s="3"/>
      <c r="J29" s="3"/>
      <c r="K29" s="2"/>
      <c r="L29" s="6">
        <f>SUM(L26:L28)</f>
        <v>0.007681768</v>
      </c>
      <c r="M29" s="3"/>
      <c r="N29" s="3"/>
      <c r="O29" s="2"/>
      <c r="P29" s="6">
        <f>SUM(P26:P28)</f>
        <v>0.007050312</v>
      </c>
      <c r="Q29" s="8">
        <v>0.0184</v>
      </c>
    </row>
    <row r="30" spans="3:17">
      <c r="C30" s="7" t="s">
        <v>50</v>
      </c>
      <c r="D30" s="7" t="s">
        <v>51</v>
      </c>
      <c r="E30" s="7">
        <v>2.95</v>
      </c>
      <c r="F30" s="7">
        <v>4858</v>
      </c>
      <c r="G30" s="3">
        <v>220</v>
      </c>
      <c r="H30" s="6">
        <f t="shared" si="6"/>
        <v>0.003152842</v>
      </c>
      <c r="I30" s="7">
        <v>2.95</v>
      </c>
      <c r="J30" s="7">
        <v>4858</v>
      </c>
      <c r="K30" s="3">
        <v>279</v>
      </c>
      <c r="L30" s="6">
        <f>K30*J30*I30/1000000000</f>
        <v>0.0039983769</v>
      </c>
      <c r="M30" s="7">
        <v>2.95</v>
      </c>
      <c r="N30" s="7">
        <v>4858</v>
      </c>
      <c r="O30" s="3">
        <v>243</v>
      </c>
      <c r="P30" s="6">
        <f>O30*N30*M30/1000000000</f>
        <v>0.0034824573</v>
      </c>
      <c r="Q30" s="8"/>
    </row>
    <row r="31" spans="3:17">
      <c r="C31" s="7" t="s">
        <v>37</v>
      </c>
      <c r="D31" s="7" t="s">
        <v>51</v>
      </c>
      <c r="E31" s="7">
        <v>43.8</v>
      </c>
      <c r="F31" s="2">
        <v>4444</v>
      </c>
      <c r="G31" s="7">
        <v>475</v>
      </c>
      <c r="H31" s="6">
        <f t="shared" si="6"/>
        <v>0.09245742</v>
      </c>
      <c r="I31" s="7">
        <v>43.8</v>
      </c>
      <c r="J31" s="2">
        <v>4444</v>
      </c>
      <c r="K31" s="7">
        <v>628</v>
      </c>
      <c r="L31" s="8">
        <f t="shared" ref="L31:L34" si="7">I31*J31*K31/1000000000</f>
        <v>0.1222384416</v>
      </c>
      <c r="M31" s="7">
        <v>43.8</v>
      </c>
      <c r="N31" s="2">
        <v>4444</v>
      </c>
      <c r="O31" s="7">
        <v>552</v>
      </c>
      <c r="P31" s="8">
        <f t="shared" ref="P31:P34" si="8">M31*N31*O31/1000000000</f>
        <v>0.1074452544</v>
      </c>
      <c r="Q31" s="8"/>
    </row>
    <row r="32" spans="3:17">
      <c r="C32" s="3" t="s">
        <v>45</v>
      </c>
      <c r="D32" s="7"/>
      <c r="E32" s="7"/>
      <c r="F32" s="7"/>
      <c r="G32" s="7"/>
      <c r="H32" s="8">
        <f>SUM(H30:H31)</f>
        <v>0.095610262</v>
      </c>
      <c r="I32" s="7"/>
      <c r="J32" s="7"/>
      <c r="K32" s="7"/>
      <c r="L32" s="8">
        <f>SUM(L30:L31)</f>
        <v>0.1262368185</v>
      </c>
      <c r="M32" s="7"/>
      <c r="N32" s="7"/>
      <c r="O32" s="7"/>
      <c r="P32" s="8">
        <f>SUM(P30:P31)</f>
        <v>0.1109277117</v>
      </c>
      <c r="Q32" s="8">
        <v>0.3327</v>
      </c>
    </row>
    <row r="33" spans="3:17">
      <c r="C33" s="3" t="s">
        <v>47</v>
      </c>
      <c r="D33" s="3" t="s">
        <v>20</v>
      </c>
      <c r="E33" s="7"/>
      <c r="F33" s="7"/>
      <c r="G33" s="7"/>
      <c r="H33" s="8">
        <f t="shared" ref="H33:H36" si="9">E33*F33*G33/1000000000</f>
        <v>0</v>
      </c>
      <c r="I33" s="7">
        <v>3.81</v>
      </c>
      <c r="J33" s="7">
        <v>1686</v>
      </c>
      <c r="K33" s="7">
        <v>41.5</v>
      </c>
      <c r="L33" s="8">
        <f t="shared" si="7"/>
        <v>0.00026658189</v>
      </c>
      <c r="M33" s="7">
        <v>3.81</v>
      </c>
      <c r="N33" s="7">
        <v>1686</v>
      </c>
      <c r="O33" s="7">
        <v>120</v>
      </c>
      <c r="P33" s="8">
        <f t="shared" si="8"/>
        <v>0.0007708392</v>
      </c>
      <c r="Q33" s="8"/>
    </row>
    <row r="34" spans="3:17">
      <c r="C34" s="3" t="s">
        <v>48</v>
      </c>
      <c r="D34" s="3" t="s">
        <v>20</v>
      </c>
      <c r="E34" s="7">
        <v>3.21</v>
      </c>
      <c r="F34" s="7">
        <v>7911</v>
      </c>
      <c r="G34" s="7">
        <v>384</v>
      </c>
      <c r="H34" s="8">
        <f t="shared" si="9"/>
        <v>0.00975141504</v>
      </c>
      <c r="I34" s="7">
        <v>3.21</v>
      </c>
      <c r="J34" s="7">
        <v>7911</v>
      </c>
      <c r="K34" s="7">
        <v>448</v>
      </c>
      <c r="L34" s="8">
        <f t="shared" si="7"/>
        <v>0.01137665088</v>
      </c>
      <c r="M34" s="7">
        <v>3.21</v>
      </c>
      <c r="N34" s="7">
        <v>7911</v>
      </c>
      <c r="O34" s="7">
        <v>432</v>
      </c>
      <c r="P34" s="8">
        <f t="shared" si="8"/>
        <v>0.01097034192</v>
      </c>
      <c r="Q34" s="8"/>
    </row>
    <row r="35" spans="3:17">
      <c r="C35" s="3" t="s">
        <v>52</v>
      </c>
      <c r="D35" s="7"/>
      <c r="E35" s="7"/>
      <c r="F35" s="7"/>
      <c r="G35" s="7"/>
      <c r="H35" s="8">
        <f>SUM(H33:H34)</f>
        <v>0.00975141504</v>
      </c>
      <c r="I35" s="7"/>
      <c r="J35" s="7"/>
      <c r="K35" s="7"/>
      <c r="L35" s="8">
        <f>SUM(L33:L34)</f>
        <v>0.01164323277</v>
      </c>
      <c r="M35" s="7"/>
      <c r="N35" s="7"/>
      <c r="O35" s="7"/>
      <c r="P35" s="8">
        <f>SUM(P33:P34)</f>
        <v>0.01174118112</v>
      </c>
      <c r="Q35" s="8">
        <f>SUM(H35+L35+P35)</f>
        <v>0.03313582893</v>
      </c>
    </row>
    <row r="36" spans="3:17">
      <c r="C36" s="3" t="s">
        <v>48</v>
      </c>
      <c r="D36" s="3" t="s">
        <v>53</v>
      </c>
      <c r="E36" s="7">
        <v>4.1</v>
      </c>
      <c r="F36" s="7">
        <v>7911</v>
      </c>
      <c r="G36" s="7">
        <v>384</v>
      </c>
      <c r="H36" s="8">
        <f t="shared" si="9"/>
        <v>0.0124550784</v>
      </c>
      <c r="I36" s="7">
        <v>4.1</v>
      </c>
      <c r="J36" s="7">
        <v>7911</v>
      </c>
      <c r="K36" s="7">
        <v>448</v>
      </c>
      <c r="L36" s="8">
        <f>I36*J36*K36/1000000000</f>
        <v>0.0145309248</v>
      </c>
      <c r="M36" s="7">
        <v>4.1</v>
      </c>
      <c r="N36" s="7">
        <v>7911</v>
      </c>
      <c r="O36" s="7">
        <v>432</v>
      </c>
      <c r="P36" s="8">
        <f>M36*N36*O36/1000000000</f>
        <v>0.0140119632</v>
      </c>
      <c r="Q36" s="8"/>
    </row>
    <row r="37" spans="3:17">
      <c r="C37" s="3" t="s">
        <v>45</v>
      </c>
      <c r="D37" s="3"/>
      <c r="E37" s="7"/>
      <c r="F37" s="7"/>
      <c r="G37" s="7"/>
      <c r="H37" s="8">
        <f>SUM(H36:H36)</f>
        <v>0.0124550784</v>
      </c>
      <c r="I37" s="7"/>
      <c r="J37" s="7"/>
      <c r="K37" s="7"/>
      <c r="L37" s="8">
        <f>SUM(L36:L36)</f>
        <v>0.0145309248</v>
      </c>
      <c r="M37" s="7"/>
      <c r="N37" s="7"/>
      <c r="O37" s="7"/>
      <c r="P37" s="8">
        <f>SUM(P36:P36)</f>
        <v>0.0140119632</v>
      </c>
      <c r="Q37" s="8">
        <f>SUM(H37+L37+P37)</f>
        <v>0.0409979664</v>
      </c>
    </row>
  </sheetData>
  <mergeCells count="6">
    <mergeCell ref="C4:Q4"/>
    <mergeCell ref="E5:H5"/>
    <mergeCell ref="I5:L5"/>
    <mergeCell ref="M5:P5"/>
    <mergeCell ref="C5:C6"/>
    <mergeCell ref="D5:D6"/>
  </mergeCells>
  <pageMargins left="0.306944444444444" right="0.306944444444444" top="0.357638888888889" bottom="0.357638888888889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废水</vt:lpstr>
      <vt:lpstr>废气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张岩</cp:lastModifiedBy>
  <dcterms:created xsi:type="dcterms:W3CDTF">2021-08-12T05:42:00Z</dcterms:created>
  <dcterms:modified xsi:type="dcterms:W3CDTF">2024-01-10T05:33:18Z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  <property fmtid="{D5CDD505-2E9C-101B-9397-08002B2CF9AE}" pid="3" name="ICV">
    <vt:lpwstr>ABFA383FE37E413BB80DDC4427B60B8F</vt:lpwstr>
  </property>
</Properties>
</file>