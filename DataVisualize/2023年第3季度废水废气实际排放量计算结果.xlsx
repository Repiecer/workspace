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 activeTab="1"/>
  </bookViews>
  <sheets>
    <sheet name="废水" sheetId="1" r:id="rId1"/>
    <sheet name="废气" sheetId="3" r:id="rId2"/>
  </sheets>
  <calcPr calcId="144525"/>
</workbook>
</file>

<file path=xl/sharedStrings.xml><?xml version="1.0" encoding="utf-8"?>
<sst xmlns="http://schemas.openxmlformats.org/spreadsheetml/2006/main" count="113" uniqueCount="54">
  <si>
    <t>2023年第3季度废水实际排放量计算结果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</si>
  <si>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</si>
  <si>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</si>
  <si>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</si>
  <si>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</si>
  <si>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</si>
  <si>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</si>
  <si>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</si>
  <si>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7月</t>
  </si>
  <si>
    <t>8月</t>
  </si>
  <si>
    <t>9月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</si>
  <si>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</si>
  <si>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</si>
  <si>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</si>
  <si>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</si>
  <si>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</si>
  <si>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</si>
  <si>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</si>
  <si>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</si>
  <si>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</si>
  <si>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</si>
  <si>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</si>
  <si>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</si>
  <si>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</si>
  <si>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</si>
  <si>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</si>
  <si>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</si>
  <si>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</si>
  <si>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2023年第3季度废气实际排放量计算结果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</si>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</sst>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;[Red]0"/>
    <numFmt numFmtId="177" formatCode="0.0000;[Red]0.0000"/>
    <numFmt numFmtId="178" formatCode="0.0000_ "/>
    <numFmt numFmtId="179" formatCode="0.000000_ "/>
    <numFmt numFmtId="180" formatCode="0.00000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21" borderId="9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21" fillId="32" borderId="1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17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opLeftCell="A7" workbookViewId="0">
      <selection activeCell="I29" sqref="I29"/>
    </sheetView>
  </sheetViews>
  <sheetFormatPr defaultColWidth="9" defaultRowHeight="13.5"/>
  <cols>
    <col min="1" max="1" width="7.25" customWidth="1"/>
    <col min="2" max="2" width="9.375" customWidth="1"/>
    <col min="3" max="3" width="7.75" customWidth="1"/>
    <col min="4" max="4" width="7.25" customWidth="1"/>
    <col min="5" max="5" width="9.5" customWidth="1"/>
    <col min="6" max="6" width="9.375" customWidth="1"/>
    <col min="10" max="10" width="9.25"/>
    <col min="14" max="14" width="9.25"/>
    <col min="15" max="15" width="10.125"/>
  </cols>
  <sheetData>
    <row r="1" customHeight="1"/>
    <row r="3" ht="20.25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4" spans="1:8">
      <c r="A5" s="9" t="s">
        <v>1</v>
      </c>
      <c r="B5" s="9" t="s">
        <v>2</v>
      </c>
      <c r="C5" s="9" t="s">
        <v>3</v>
      </c>
      <c r="D5" s="2" t="s">
        <v>4</v>
      </c>
      <c r="E5" s="2" t="s">
        <v>5</v>
      </c>
      <c r="F5" s="10"/>
      <c r="G5" s="10"/>
      <c r="H5" s="10"/>
    </row>
    <row r="6" spans="1:8">
      <c r="A6" s="11">
        <v>7</v>
      </c>
      <c r="B6" s="12">
        <v>3832</v>
      </c>
      <c r="C6" s="11">
        <v>1332</v>
      </c>
      <c r="D6" s="11">
        <v>27</v>
      </c>
      <c r="E6" s="13">
        <f>C6/D6</f>
        <v>49.3333333333333</v>
      </c>
      <c r="F6" s="10"/>
      <c r="G6" s="10"/>
      <c r="H6" s="10"/>
    </row>
    <row r="7" spans="1:8">
      <c r="A7" s="11">
        <v>8</v>
      </c>
      <c r="B7" s="12">
        <v>3811</v>
      </c>
      <c r="C7" s="11">
        <v>1325</v>
      </c>
      <c r="D7" s="11">
        <v>27</v>
      </c>
      <c r="E7" s="13">
        <f>C7/D7</f>
        <v>49.0740740740741</v>
      </c>
      <c r="F7" s="10"/>
      <c r="G7" s="10"/>
      <c r="H7" s="10"/>
    </row>
    <row r="8" spans="1:8">
      <c r="A8" s="11">
        <v>9</v>
      </c>
      <c r="B8" s="12">
        <v>3156</v>
      </c>
      <c r="C8" s="11">
        <v>1097</v>
      </c>
      <c r="D8" s="11">
        <v>26</v>
      </c>
      <c r="E8" s="13">
        <f>C8/D8</f>
        <v>42.1923076923077</v>
      </c>
      <c r="F8" s="10"/>
      <c r="G8" s="10"/>
      <c r="H8" s="10"/>
    </row>
    <row r="12" spans="1:15">
      <c r="A12" s="2" t="s">
        <v>6</v>
      </c>
      <c r="B12" s="2" t="s">
        <v>7</v>
      </c>
      <c r="C12" s="2" t="s">
        <v>8</v>
      </c>
      <c r="D12" s="2"/>
      <c r="E12" s="2"/>
      <c r="F12" s="2"/>
      <c r="G12" s="2" t="s">
        <v>9</v>
      </c>
      <c r="H12" s="2"/>
      <c r="I12" s="2"/>
      <c r="J12" s="2"/>
      <c r="K12" s="2" t="s">
        <v>10</v>
      </c>
      <c r="L12" s="2"/>
      <c r="M12" s="2"/>
      <c r="N12" s="2"/>
      <c r="O12" s="2" t="s">
        <v>11</v>
      </c>
    </row>
    <row r="13" ht="24" spans="1:15">
      <c r="A13" s="2"/>
      <c r="B13" s="2"/>
      <c r="C13" s="2" t="s">
        <v>12</v>
      </c>
      <c r="D13" s="2" t="s">
        <v>5</v>
      </c>
      <c r="E13" s="2" t="s">
        <v>4</v>
      </c>
      <c r="F13" s="2" t="s">
        <v>13</v>
      </c>
      <c r="G13" s="2" t="s">
        <v>12</v>
      </c>
      <c r="H13" s="2" t="s">
        <v>5</v>
      </c>
      <c r="I13" s="2" t="s">
        <v>4</v>
      </c>
      <c r="J13" s="2" t="s">
        <v>13</v>
      </c>
      <c r="K13" s="2" t="s">
        <v>12</v>
      </c>
      <c r="L13" s="2" t="s">
        <v>5</v>
      </c>
      <c r="M13" s="2" t="s">
        <v>4</v>
      </c>
      <c r="N13" s="2" t="s">
        <v>13</v>
      </c>
      <c r="O13" s="2"/>
    </row>
    <row r="14" spans="1:15">
      <c r="A14" s="2" t="s">
        <v>14</v>
      </c>
      <c r="B14" s="2" t="s">
        <v>15</v>
      </c>
      <c r="C14" s="2">
        <v>39</v>
      </c>
      <c r="D14" s="11">
        <v>49</v>
      </c>
      <c r="E14" s="11">
        <v>27</v>
      </c>
      <c r="F14" s="4">
        <f>C14*D14*E14/1000000</f>
        <v>0.051597</v>
      </c>
      <c r="G14" s="2">
        <v>39</v>
      </c>
      <c r="H14" s="11">
        <v>49</v>
      </c>
      <c r="I14" s="11">
        <v>27</v>
      </c>
      <c r="J14" s="4">
        <f>G14*H14*I14/1000000</f>
        <v>0.051597</v>
      </c>
      <c r="K14" s="2">
        <v>39</v>
      </c>
      <c r="L14" s="11">
        <v>42</v>
      </c>
      <c r="M14" s="11">
        <v>26</v>
      </c>
      <c r="N14" s="4">
        <f>K14*L14*M14/1000000</f>
        <v>0.042588</v>
      </c>
      <c r="O14" s="4">
        <f>F14+J14+N14</f>
        <v>0.145782</v>
      </c>
    </row>
    <row r="15" spans="1:15">
      <c r="A15" s="2"/>
      <c r="B15" s="2" t="s">
        <v>16</v>
      </c>
      <c r="C15" s="2">
        <v>3.72</v>
      </c>
      <c r="D15" s="11">
        <v>49</v>
      </c>
      <c r="E15" s="11">
        <v>27</v>
      </c>
      <c r="F15" s="4">
        <f t="shared" ref="F15:F25" si="0">C15*D15*E15/1000000</f>
        <v>0.00492156</v>
      </c>
      <c r="G15" s="2">
        <v>3.72</v>
      </c>
      <c r="H15" s="11">
        <v>49</v>
      </c>
      <c r="I15" s="11">
        <v>27</v>
      </c>
      <c r="J15" s="4">
        <f t="shared" ref="J15:J25" si="1">G15*H15*I15/1000000</f>
        <v>0.00492156</v>
      </c>
      <c r="K15" s="2">
        <v>3.72</v>
      </c>
      <c r="L15" s="11">
        <v>42</v>
      </c>
      <c r="M15" s="11">
        <v>26</v>
      </c>
      <c r="N15" s="4">
        <f t="shared" ref="N15:N25" si="2">K15*L15*M15/1000000</f>
        <v>0.00406224</v>
      </c>
      <c r="O15" s="4">
        <f>F15+J15+N15</f>
        <v>0.01390536</v>
      </c>
    </row>
    <row r="16" spans="1:15">
      <c r="A16" s="2"/>
      <c r="B16" s="2" t="s">
        <v>17</v>
      </c>
      <c r="C16" s="2">
        <v>0.086</v>
      </c>
      <c r="D16" s="11">
        <v>49</v>
      </c>
      <c r="E16" s="11">
        <v>27</v>
      </c>
      <c r="F16" s="14">
        <f t="shared" si="0"/>
        <v>0.000113778</v>
      </c>
      <c r="G16" s="2">
        <v>0.086</v>
      </c>
      <c r="H16" s="11">
        <v>49</v>
      </c>
      <c r="I16" s="11">
        <v>27</v>
      </c>
      <c r="J16" s="14">
        <f t="shared" si="1"/>
        <v>0.000113778</v>
      </c>
      <c r="K16" s="2">
        <v>0.086</v>
      </c>
      <c r="L16" s="11">
        <v>42</v>
      </c>
      <c r="M16" s="11">
        <v>26</v>
      </c>
      <c r="N16" s="14">
        <f t="shared" si="2"/>
        <v>9.3912e-5</v>
      </c>
      <c r="O16" s="14">
        <v>0.00031</v>
      </c>
    </row>
    <row r="17" spans="1:15">
      <c r="A17" s="2"/>
      <c r="B17" s="2" t="s">
        <v>18</v>
      </c>
      <c r="C17" s="2">
        <v>0.21</v>
      </c>
      <c r="D17" s="11">
        <v>49</v>
      </c>
      <c r="E17" s="11">
        <v>27</v>
      </c>
      <c r="F17" s="14">
        <f t="shared" si="0"/>
        <v>0.00027783</v>
      </c>
      <c r="G17" s="2">
        <v>0.21</v>
      </c>
      <c r="H17" s="11">
        <v>49</v>
      </c>
      <c r="I17" s="11">
        <v>27</v>
      </c>
      <c r="J17" s="14">
        <f t="shared" si="1"/>
        <v>0.00027783</v>
      </c>
      <c r="K17" s="2">
        <v>0.21</v>
      </c>
      <c r="L17" s="11">
        <v>42</v>
      </c>
      <c r="M17" s="11">
        <v>26</v>
      </c>
      <c r="N17" s="14">
        <f t="shared" si="2"/>
        <v>0.00022932</v>
      </c>
      <c r="O17" s="14">
        <v>0.00079</v>
      </c>
    </row>
    <row r="18" spans="1:15">
      <c r="A18" s="2"/>
      <c r="B18" s="2" t="s">
        <v>19</v>
      </c>
      <c r="C18" s="2">
        <v>17</v>
      </c>
      <c r="D18" s="11">
        <v>49</v>
      </c>
      <c r="E18" s="11">
        <v>27</v>
      </c>
      <c r="F18" s="4">
        <f t="shared" si="0"/>
        <v>0.022491</v>
      </c>
      <c r="G18" s="2">
        <v>17</v>
      </c>
      <c r="H18" s="11">
        <v>49</v>
      </c>
      <c r="I18" s="11">
        <v>27</v>
      </c>
      <c r="J18" s="4">
        <f t="shared" si="1"/>
        <v>0.022491</v>
      </c>
      <c r="K18" s="2">
        <v>17</v>
      </c>
      <c r="L18" s="11">
        <v>42</v>
      </c>
      <c r="M18" s="11">
        <v>26</v>
      </c>
      <c r="N18" s="4">
        <f t="shared" si="2"/>
        <v>0.018564</v>
      </c>
      <c r="O18" s="4">
        <v>0.0636</v>
      </c>
    </row>
    <row r="19" spans="1:15">
      <c r="A19" s="2"/>
      <c r="B19" s="2" t="s">
        <v>20</v>
      </c>
      <c r="C19" s="2">
        <v>9.46</v>
      </c>
      <c r="D19" s="11">
        <v>49</v>
      </c>
      <c r="E19" s="11">
        <v>27</v>
      </c>
      <c r="F19" s="4">
        <f t="shared" si="0"/>
        <v>0.01251558</v>
      </c>
      <c r="G19" s="2">
        <v>9.46</v>
      </c>
      <c r="H19" s="11">
        <v>49</v>
      </c>
      <c r="I19" s="11">
        <v>27</v>
      </c>
      <c r="J19" s="4">
        <f t="shared" si="1"/>
        <v>0.01251558</v>
      </c>
      <c r="K19" s="2">
        <v>9.46</v>
      </c>
      <c r="L19" s="11">
        <v>42</v>
      </c>
      <c r="M19" s="11">
        <v>26</v>
      </c>
      <c r="N19" s="4">
        <f t="shared" si="2"/>
        <v>0.01033032</v>
      </c>
      <c r="O19" s="4">
        <v>0.0353</v>
      </c>
    </row>
    <row r="20" spans="1:15">
      <c r="A20" s="2"/>
      <c r="B20" s="2" t="s">
        <v>21</v>
      </c>
      <c r="C20" s="2">
        <v>0.025</v>
      </c>
      <c r="D20" s="11">
        <v>49</v>
      </c>
      <c r="E20" s="11">
        <v>27</v>
      </c>
      <c r="F20" s="15">
        <f t="shared" si="0"/>
        <v>3.3075e-5</v>
      </c>
      <c r="G20" s="2">
        <v>0.025</v>
      </c>
      <c r="H20" s="11">
        <v>49</v>
      </c>
      <c r="I20" s="11">
        <v>27</v>
      </c>
      <c r="J20" s="15">
        <f t="shared" si="1"/>
        <v>3.3075e-5</v>
      </c>
      <c r="K20" s="2">
        <v>0.025</v>
      </c>
      <c r="L20" s="11">
        <v>42</v>
      </c>
      <c r="M20" s="11">
        <v>26</v>
      </c>
      <c r="N20" s="15">
        <f t="shared" si="2"/>
        <v>2.73e-5</v>
      </c>
      <c r="O20" s="15">
        <v>9.3e-5</v>
      </c>
    </row>
    <row r="21" spans="1:15">
      <c r="A21" s="2"/>
      <c r="B21" s="2" t="s">
        <v>22</v>
      </c>
      <c r="C21" s="2">
        <v>0.26</v>
      </c>
      <c r="D21" s="11">
        <v>49</v>
      </c>
      <c r="E21" s="11">
        <v>27</v>
      </c>
      <c r="F21" s="15">
        <f t="shared" si="0"/>
        <v>0.00034398</v>
      </c>
      <c r="G21" s="2">
        <v>0.26</v>
      </c>
      <c r="H21" s="11">
        <v>49</v>
      </c>
      <c r="I21" s="11">
        <v>27</v>
      </c>
      <c r="J21" s="15">
        <f t="shared" si="1"/>
        <v>0.00034398</v>
      </c>
      <c r="K21" s="2">
        <v>0.26</v>
      </c>
      <c r="L21" s="11">
        <v>42</v>
      </c>
      <c r="M21" s="11">
        <v>26</v>
      </c>
      <c r="N21" s="15">
        <f t="shared" si="2"/>
        <v>0.00028392</v>
      </c>
      <c r="O21" s="15">
        <f>N21+J21+F21</f>
        <v>0.00097188</v>
      </c>
    </row>
    <row r="22" spans="1:15">
      <c r="A22" s="2"/>
      <c r="B22" s="2" t="s">
        <v>23</v>
      </c>
      <c r="C22" s="2">
        <v>0.156</v>
      </c>
      <c r="D22" s="11">
        <v>49</v>
      </c>
      <c r="E22" s="11">
        <v>27</v>
      </c>
      <c r="F22" s="15">
        <f t="shared" si="0"/>
        <v>0.000206388</v>
      </c>
      <c r="G22" s="2">
        <v>0.156</v>
      </c>
      <c r="H22" s="11">
        <v>49</v>
      </c>
      <c r="I22" s="11">
        <v>27</v>
      </c>
      <c r="J22" s="15">
        <f t="shared" si="1"/>
        <v>0.000206388</v>
      </c>
      <c r="K22" s="2">
        <v>0.156</v>
      </c>
      <c r="L22" s="11">
        <v>42</v>
      </c>
      <c r="M22" s="11">
        <v>26</v>
      </c>
      <c r="N22" s="15">
        <f t="shared" si="2"/>
        <v>0.000170352</v>
      </c>
      <c r="O22" s="15">
        <v>0.000582</v>
      </c>
    </row>
    <row r="23" spans="1:15">
      <c r="A23" s="2"/>
      <c r="B23" s="2" t="s">
        <v>24</v>
      </c>
      <c r="C23" s="2">
        <v>10.2</v>
      </c>
      <c r="D23" s="11">
        <v>49</v>
      </c>
      <c r="E23" s="11">
        <v>27</v>
      </c>
      <c r="F23" s="4">
        <f t="shared" si="0"/>
        <v>0.0134946</v>
      </c>
      <c r="G23" s="2">
        <v>10.2</v>
      </c>
      <c r="H23" s="11">
        <v>49</v>
      </c>
      <c r="I23" s="11">
        <v>27</v>
      </c>
      <c r="J23" s="4">
        <f t="shared" si="1"/>
        <v>0.0134946</v>
      </c>
      <c r="K23" s="2">
        <v>10.2</v>
      </c>
      <c r="L23" s="11">
        <v>42</v>
      </c>
      <c r="M23" s="11">
        <v>26</v>
      </c>
      <c r="N23" s="4">
        <f t="shared" si="2"/>
        <v>0.0111384</v>
      </c>
      <c r="O23" s="4">
        <f>F23+J23+N23</f>
        <v>0.0381276</v>
      </c>
    </row>
    <row r="24" spans="1:15">
      <c r="A24" s="2"/>
      <c r="B24" s="2" t="s">
        <v>25</v>
      </c>
      <c r="C24" s="2">
        <v>41</v>
      </c>
      <c r="D24" s="11">
        <v>49</v>
      </c>
      <c r="E24" s="11">
        <v>27</v>
      </c>
      <c r="F24" s="4">
        <f t="shared" si="0"/>
        <v>0.054243</v>
      </c>
      <c r="G24" s="2">
        <v>41</v>
      </c>
      <c r="H24" s="11">
        <v>49</v>
      </c>
      <c r="I24" s="11">
        <v>27</v>
      </c>
      <c r="J24" s="4">
        <f t="shared" si="1"/>
        <v>0.054243</v>
      </c>
      <c r="K24" s="2">
        <v>41</v>
      </c>
      <c r="L24" s="11">
        <v>42</v>
      </c>
      <c r="M24" s="11">
        <v>26</v>
      </c>
      <c r="N24" s="4">
        <f t="shared" si="2"/>
        <v>0.044772</v>
      </c>
      <c r="O24" s="4">
        <v>0.1532</v>
      </c>
    </row>
    <row r="25" spans="1:15">
      <c r="A25" s="2"/>
      <c r="B25" s="2" t="s">
        <v>26</v>
      </c>
      <c r="C25" s="2">
        <v>0.22</v>
      </c>
      <c r="D25" s="11">
        <v>49</v>
      </c>
      <c r="E25" s="11">
        <v>27</v>
      </c>
      <c r="F25" s="4">
        <f t="shared" si="0"/>
        <v>0.00029106</v>
      </c>
      <c r="G25" s="2">
        <v>0.22</v>
      </c>
      <c r="H25" s="11">
        <v>49</v>
      </c>
      <c r="I25" s="11">
        <v>27</v>
      </c>
      <c r="J25" s="4">
        <f t="shared" si="1"/>
        <v>0.00029106</v>
      </c>
      <c r="K25" s="2">
        <v>0.22</v>
      </c>
      <c r="L25" s="11">
        <v>42</v>
      </c>
      <c r="M25" s="11">
        <v>26</v>
      </c>
      <c r="N25" s="4">
        <f t="shared" si="2"/>
        <v>0.00024024</v>
      </c>
      <c r="O25" s="4">
        <f>F25+J25+N25</f>
        <v>0.00082236</v>
      </c>
    </row>
    <row r="26" spans="1:15">
      <c r="A26" s="9"/>
      <c r="B26" s="9" t="s">
        <v>27</v>
      </c>
      <c r="C26" s="16">
        <v>7.5</v>
      </c>
      <c r="D26" s="17"/>
      <c r="E26" s="17"/>
      <c r="F26" s="18"/>
      <c r="G26" s="16">
        <v>7.5</v>
      </c>
      <c r="H26" s="17"/>
      <c r="I26" s="17"/>
      <c r="J26" s="18"/>
      <c r="K26" s="16">
        <v>7.5</v>
      </c>
      <c r="L26" s="17"/>
      <c r="M26" s="17"/>
      <c r="N26" s="18"/>
      <c r="O26" s="9"/>
    </row>
  </sheetData>
  <mergeCells count="10">
    <mergeCell ref="A3:O3"/>
    <mergeCell ref="C12:F12"/>
    <mergeCell ref="G12:J12"/>
    <mergeCell ref="K12:N12"/>
    <mergeCell ref="C26:F26"/>
    <mergeCell ref="G26:J26"/>
    <mergeCell ref="K26:N26"/>
    <mergeCell ref="A12:A13"/>
    <mergeCell ref="B12:B13"/>
    <mergeCell ref="O12:O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5"/>
  <sheetViews>
    <sheetView tabSelected="1" topLeftCell="A2" workbookViewId="0">
      <selection activeCell="N28" sqref="N28"/>
    </sheetView>
  </sheetViews>
  <sheetFormatPr defaultColWidth="9" defaultRowHeight="13.5"/>
  <sheetData>
    <row r="2" ht="20.25" spans="1:1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6</v>
      </c>
      <c r="B3" s="2" t="s">
        <v>7</v>
      </c>
      <c r="C3" s="3" t="s">
        <v>8</v>
      </c>
      <c r="D3" s="3"/>
      <c r="E3" s="3"/>
      <c r="F3" s="3"/>
      <c r="G3" s="3" t="s">
        <v>9</v>
      </c>
      <c r="H3" s="3"/>
      <c r="I3" s="3"/>
      <c r="J3" s="3"/>
      <c r="K3" s="3" t="s">
        <v>10</v>
      </c>
      <c r="L3" s="3"/>
      <c r="M3" s="3"/>
      <c r="N3" s="3"/>
      <c r="O3" s="7" t="s">
        <v>11</v>
      </c>
    </row>
    <row r="4" ht="24" spans="1:15">
      <c r="A4" s="2"/>
      <c r="B4" s="2"/>
      <c r="C4" s="2" t="s">
        <v>29</v>
      </c>
      <c r="D4" s="2" t="s">
        <v>30</v>
      </c>
      <c r="E4" s="2" t="s">
        <v>31</v>
      </c>
      <c r="F4" s="2" t="s">
        <v>13</v>
      </c>
      <c r="G4" s="2" t="s">
        <v>29</v>
      </c>
      <c r="H4" s="2" t="s">
        <v>30</v>
      </c>
      <c r="I4" s="2" t="s">
        <v>31</v>
      </c>
      <c r="J4" s="2" t="s">
        <v>13</v>
      </c>
      <c r="K4" s="2" t="s">
        <v>29</v>
      </c>
      <c r="L4" s="2" t="s">
        <v>30</v>
      </c>
      <c r="M4" s="2" t="s">
        <v>31</v>
      </c>
      <c r="N4" s="2" t="s">
        <v>13</v>
      </c>
      <c r="O4" s="7"/>
    </row>
    <row r="5" spans="1:15">
      <c r="A5" s="2" t="s">
        <v>32</v>
      </c>
      <c r="B5" s="2" t="s">
        <v>33</v>
      </c>
      <c r="C5" s="2">
        <v>3.3</v>
      </c>
      <c r="D5" s="2">
        <v>7737</v>
      </c>
      <c r="E5" s="2">
        <v>672</v>
      </c>
      <c r="F5" s="4">
        <f t="shared" ref="F5:F16" si="0">C5*D5*E5/1000000000</f>
        <v>0.0171575712</v>
      </c>
      <c r="G5" s="2">
        <v>3.3</v>
      </c>
      <c r="H5" s="2">
        <v>7737</v>
      </c>
      <c r="I5" s="2">
        <v>300</v>
      </c>
      <c r="J5" s="4">
        <f t="shared" ref="J5:J16" si="1">G5*H5*I5/1000000000</f>
        <v>0.00765963</v>
      </c>
      <c r="K5" s="2">
        <v>3.3</v>
      </c>
      <c r="L5" s="2">
        <v>7737</v>
      </c>
      <c r="M5" s="2">
        <v>310</v>
      </c>
      <c r="N5" s="4">
        <f t="shared" ref="N5:N16" si="2">K5*L5*M5/1000000000</f>
        <v>0.007914951</v>
      </c>
      <c r="O5" s="8"/>
    </row>
    <row r="6" spans="1:15">
      <c r="A6" s="2" t="s">
        <v>34</v>
      </c>
      <c r="B6" s="2" t="s">
        <v>33</v>
      </c>
      <c r="C6" s="2">
        <v>2.5</v>
      </c>
      <c r="D6" s="2">
        <v>5981</v>
      </c>
      <c r="E6" s="2">
        <v>540</v>
      </c>
      <c r="F6" s="4">
        <f t="shared" si="0"/>
        <v>0.00807435</v>
      </c>
      <c r="G6" s="2">
        <v>2.5</v>
      </c>
      <c r="H6" s="2">
        <v>5981</v>
      </c>
      <c r="I6" s="2">
        <v>520</v>
      </c>
      <c r="J6" s="4">
        <f t="shared" si="1"/>
        <v>0.0077753</v>
      </c>
      <c r="K6" s="2">
        <v>2.5</v>
      </c>
      <c r="L6" s="2">
        <v>5981</v>
      </c>
      <c r="M6" s="2">
        <v>500</v>
      </c>
      <c r="N6" s="4">
        <f t="shared" si="2"/>
        <v>0.00747625</v>
      </c>
      <c r="O6" s="8"/>
    </row>
    <row r="7" spans="1:15">
      <c r="A7" s="2" t="s">
        <v>35</v>
      </c>
      <c r="B7" s="2" t="s">
        <v>33</v>
      </c>
      <c r="C7" s="2">
        <v>2.8</v>
      </c>
      <c r="D7" s="2">
        <v>7955</v>
      </c>
      <c r="E7" s="2">
        <v>608</v>
      </c>
      <c r="F7" s="4">
        <f t="shared" si="0"/>
        <v>0.013542592</v>
      </c>
      <c r="G7" s="2">
        <v>2.8</v>
      </c>
      <c r="H7" s="2">
        <v>7955</v>
      </c>
      <c r="I7" s="2">
        <v>560</v>
      </c>
      <c r="J7" s="4">
        <f t="shared" si="1"/>
        <v>0.01247344</v>
      </c>
      <c r="K7" s="2">
        <v>2.8</v>
      </c>
      <c r="L7" s="2">
        <v>7955</v>
      </c>
      <c r="M7" s="2">
        <v>432</v>
      </c>
      <c r="N7" s="4">
        <f t="shared" si="2"/>
        <v>0.009622368</v>
      </c>
      <c r="O7" s="8"/>
    </row>
    <row r="8" spans="1:15">
      <c r="A8" s="2" t="s">
        <v>36</v>
      </c>
      <c r="B8" s="2" t="s">
        <v>33</v>
      </c>
      <c r="C8" s="2">
        <v>3.2</v>
      </c>
      <c r="D8" s="2">
        <v>7010</v>
      </c>
      <c r="E8" s="2">
        <v>611</v>
      </c>
      <c r="F8" s="4">
        <f t="shared" si="0"/>
        <v>0.013705952</v>
      </c>
      <c r="G8" s="2">
        <v>3.2</v>
      </c>
      <c r="H8" s="2">
        <v>7010</v>
      </c>
      <c r="I8" s="2">
        <v>560</v>
      </c>
      <c r="J8" s="4">
        <f t="shared" si="1"/>
        <v>0.01256192</v>
      </c>
      <c r="K8" s="2">
        <v>3.2</v>
      </c>
      <c r="L8" s="2">
        <v>7010</v>
      </c>
      <c r="M8" s="2">
        <v>540</v>
      </c>
      <c r="N8" s="4">
        <f t="shared" si="2"/>
        <v>0.01211328</v>
      </c>
      <c r="O8" s="8"/>
    </row>
    <row r="9" spans="1:15">
      <c r="A9" s="2" t="s">
        <v>37</v>
      </c>
      <c r="B9" s="2" t="s">
        <v>33</v>
      </c>
      <c r="C9" s="2">
        <v>3.5</v>
      </c>
      <c r="D9" s="2">
        <v>4444</v>
      </c>
      <c r="E9" s="2">
        <v>616</v>
      </c>
      <c r="F9" s="4">
        <f t="shared" si="0"/>
        <v>0.009581264</v>
      </c>
      <c r="G9" s="2">
        <v>3.5</v>
      </c>
      <c r="H9" s="2">
        <v>4444</v>
      </c>
      <c r="I9" s="2">
        <v>560</v>
      </c>
      <c r="J9" s="4">
        <f t="shared" si="1"/>
        <v>0.00871024</v>
      </c>
      <c r="K9" s="2">
        <v>3.5</v>
      </c>
      <c r="L9" s="2">
        <v>4444</v>
      </c>
      <c r="M9" s="2">
        <v>540</v>
      </c>
      <c r="N9" s="4">
        <f t="shared" si="2"/>
        <v>0.00839916</v>
      </c>
      <c r="O9" s="8"/>
    </row>
    <row r="10" spans="1:15">
      <c r="A10" s="2" t="s">
        <v>38</v>
      </c>
      <c r="B10" s="2" t="s">
        <v>33</v>
      </c>
      <c r="C10" s="2">
        <v>3</v>
      </c>
      <c r="D10" s="2">
        <v>16686</v>
      </c>
      <c r="E10" s="2">
        <v>448</v>
      </c>
      <c r="F10" s="4">
        <f t="shared" si="0"/>
        <v>0.022425984</v>
      </c>
      <c r="G10" s="2">
        <v>3</v>
      </c>
      <c r="H10" s="2">
        <v>16686</v>
      </c>
      <c r="I10" s="2">
        <v>432</v>
      </c>
      <c r="J10" s="4">
        <f t="shared" si="1"/>
        <v>0.021625056</v>
      </c>
      <c r="K10" s="2">
        <v>3</v>
      </c>
      <c r="L10" s="2">
        <v>16686</v>
      </c>
      <c r="M10" s="2">
        <v>416</v>
      </c>
      <c r="N10" s="4">
        <f t="shared" si="2"/>
        <v>0.020824128</v>
      </c>
      <c r="O10" s="8"/>
    </row>
    <row r="11" spans="1:15">
      <c r="A11" s="2" t="s">
        <v>39</v>
      </c>
      <c r="B11" s="2" t="s">
        <v>33</v>
      </c>
      <c r="C11" s="2">
        <v>2.6</v>
      </c>
      <c r="D11" s="2">
        <v>14267</v>
      </c>
      <c r="E11" s="2">
        <v>216</v>
      </c>
      <c r="F11" s="4">
        <f t="shared" si="0"/>
        <v>0.0080123472</v>
      </c>
      <c r="G11" s="2">
        <v>2.6</v>
      </c>
      <c r="H11" s="2">
        <v>14267</v>
      </c>
      <c r="I11" s="2">
        <v>208</v>
      </c>
      <c r="J11" s="4">
        <f t="shared" si="1"/>
        <v>0.0077155936</v>
      </c>
      <c r="K11" s="2">
        <v>2.6</v>
      </c>
      <c r="L11" s="2">
        <v>14267</v>
      </c>
      <c r="M11" s="2">
        <v>208</v>
      </c>
      <c r="N11" s="4">
        <f t="shared" si="2"/>
        <v>0.0077155936</v>
      </c>
      <c r="O11" s="8"/>
    </row>
    <row r="12" spans="1:15">
      <c r="A12" s="2" t="s">
        <v>40</v>
      </c>
      <c r="B12" s="2" t="s">
        <v>33</v>
      </c>
      <c r="C12" s="2">
        <v>8.7</v>
      </c>
      <c r="D12" s="2">
        <v>10661</v>
      </c>
      <c r="E12" s="2">
        <v>432</v>
      </c>
      <c r="F12" s="4">
        <f t="shared" si="0"/>
        <v>0.0400683024</v>
      </c>
      <c r="G12" s="2">
        <v>8.7</v>
      </c>
      <c r="H12" s="2">
        <v>10661</v>
      </c>
      <c r="I12" s="2">
        <v>432</v>
      </c>
      <c r="J12" s="4">
        <f t="shared" si="1"/>
        <v>0.0400683024</v>
      </c>
      <c r="K12" s="2">
        <v>8.7</v>
      </c>
      <c r="L12" s="2">
        <v>10661</v>
      </c>
      <c r="M12" s="2">
        <v>416</v>
      </c>
      <c r="N12" s="4">
        <f t="shared" si="2"/>
        <v>0.0385842912</v>
      </c>
      <c r="O12" s="8"/>
    </row>
    <row r="13" spans="1:15">
      <c r="A13" s="2" t="s">
        <v>41</v>
      </c>
      <c r="B13" s="2" t="s">
        <v>33</v>
      </c>
      <c r="C13" s="2">
        <v>1.5</v>
      </c>
      <c r="D13" s="2">
        <v>15592</v>
      </c>
      <c r="E13" s="2">
        <v>232</v>
      </c>
      <c r="F13" s="4">
        <f t="shared" si="0"/>
        <v>0.005426016</v>
      </c>
      <c r="G13" s="2">
        <v>1.5</v>
      </c>
      <c r="H13" s="2">
        <v>15592</v>
      </c>
      <c r="I13" s="2">
        <v>232</v>
      </c>
      <c r="J13" s="4">
        <f t="shared" si="1"/>
        <v>0.005426016</v>
      </c>
      <c r="K13" s="2">
        <v>1.5</v>
      </c>
      <c r="L13" s="2">
        <v>15592</v>
      </c>
      <c r="M13" s="2">
        <v>208</v>
      </c>
      <c r="N13" s="4">
        <f t="shared" si="2"/>
        <v>0.004864704</v>
      </c>
      <c r="O13" s="8"/>
    </row>
    <row r="14" spans="1:15">
      <c r="A14" s="2" t="s">
        <v>42</v>
      </c>
      <c r="B14" s="2" t="s">
        <v>33</v>
      </c>
      <c r="C14" s="2">
        <v>2.5</v>
      </c>
      <c r="D14" s="2">
        <v>15011</v>
      </c>
      <c r="E14" s="2">
        <v>243</v>
      </c>
      <c r="F14" s="4">
        <f t="shared" si="0"/>
        <v>0.0091191825</v>
      </c>
      <c r="G14" s="2">
        <v>2.5</v>
      </c>
      <c r="H14" s="2">
        <v>15011</v>
      </c>
      <c r="I14" s="2">
        <v>225</v>
      </c>
      <c r="J14" s="4">
        <f t="shared" si="1"/>
        <v>0.0084436875</v>
      </c>
      <c r="K14" s="2">
        <v>2.5</v>
      </c>
      <c r="L14" s="2">
        <v>15011</v>
      </c>
      <c r="M14" s="2">
        <v>216</v>
      </c>
      <c r="N14" s="4">
        <f t="shared" si="2"/>
        <v>0.00810594</v>
      </c>
      <c r="O14" s="8"/>
    </row>
    <row r="15" spans="1:15">
      <c r="A15" s="3" t="s">
        <v>43</v>
      </c>
      <c r="B15" s="2" t="s">
        <v>33</v>
      </c>
      <c r="C15" s="2">
        <v>2.8</v>
      </c>
      <c r="D15" s="2">
        <v>735</v>
      </c>
      <c r="E15" s="2">
        <v>448</v>
      </c>
      <c r="F15" s="4">
        <f t="shared" si="0"/>
        <v>0.000921984</v>
      </c>
      <c r="G15" s="2">
        <v>2.8</v>
      </c>
      <c r="H15" s="2">
        <v>735</v>
      </c>
      <c r="I15" s="2">
        <v>448</v>
      </c>
      <c r="J15" s="4">
        <f t="shared" si="1"/>
        <v>0.000921984</v>
      </c>
      <c r="K15" s="2">
        <v>2.8</v>
      </c>
      <c r="L15" s="2">
        <v>735</v>
      </c>
      <c r="M15" s="2">
        <v>448</v>
      </c>
      <c r="N15" s="4">
        <f t="shared" si="2"/>
        <v>0.000921984</v>
      </c>
      <c r="O15" s="8"/>
    </row>
    <row r="16" spans="1:15">
      <c r="A16" s="3" t="s">
        <v>44</v>
      </c>
      <c r="B16" s="2" t="s">
        <v>33</v>
      </c>
      <c r="C16" s="2"/>
      <c r="D16" s="2"/>
      <c r="E16" s="2"/>
      <c r="F16" s="4"/>
      <c r="G16" s="2"/>
      <c r="H16" s="2"/>
      <c r="I16" s="2"/>
      <c r="J16" s="4"/>
      <c r="K16" s="2"/>
      <c r="L16" s="2"/>
      <c r="M16" s="2"/>
      <c r="N16" s="4"/>
      <c r="O16" s="8"/>
    </row>
    <row r="17" spans="1:15">
      <c r="A17" s="3" t="s">
        <v>45</v>
      </c>
      <c r="B17" s="5"/>
      <c r="C17" s="2"/>
      <c r="D17" s="2"/>
      <c r="E17" s="2"/>
      <c r="F17" s="4">
        <f>SUM(F5:F16)</f>
        <v>0.1480355453</v>
      </c>
      <c r="G17" s="2"/>
      <c r="H17" s="2"/>
      <c r="I17" s="2"/>
      <c r="J17" s="4">
        <f>SUM(J5:J16)</f>
        <v>0.1333811695</v>
      </c>
      <c r="K17" s="2"/>
      <c r="L17" s="2"/>
      <c r="M17" s="2"/>
      <c r="N17" s="4">
        <f>SUM(N5:N16)</f>
        <v>0.1265426498</v>
      </c>
      <c r="O17" s="8">
        <v>0.4079</v>
      </c>
    </row>
    <row r="18" spans="1:15">
      <c r="A18" s="2" t="s">
        <v>37</v>
      </c>
      <c r="B18" s="3" t="s">
        <v>46</v>
      </c>
      <c r="C18" s="3">
        <v>26</v>
      </c>
      <c r="D18" s="2">
        <v>4444</v>
      </c>
      <c r="E18" s="3">
        <v>616</v>
      </c>
      <c r="F18" s="6">
        <f t="shared" ref="F18:F22" si="3">C18*D18*E18/1000000000</f>
        <v>0.071175104</v>
      </c>
      <c r="G18" s="3">
        <v>26</v>
      </c>
      <c r="H18" s="2">
        <v>4444</v>
      </c>
      <c r="I18" s="3">
        <v>560</v>
      </c>
      <c r="J18" s="6">
        <f>I18*H18*G18/1000000000</f>
        <v>0.06470464</v>
      </c>
      <c r="K18" s="3">
        <v>26</v>
      </c>
      <c r="L18" s="2">
        <v>4444</v>
      </c>
      <c r="M18" s="3">
        <v>540</v>
      </c>
      <c r="N18" s="6">
        <f>M18*L18*K18/1000000000</f>
        <v>0.06239376</v>
      </c>
      <c r="O18" s="8"/>
    </row>
    <row r="19" spans="1:15">
      <c r="A19" s="3" t="s">
        <v>43</v>
      </c>
      <c r="B19" s="3" t="s">
        <v>46</v>
      </c>
      <c r="C19" s="3">
        <v>48</v>
      </c>
      <c r="D19" s="2">
        <v>936</v>
      </c>
      <c r="E19" s="2">
        <v>448</v>
      </c>
      <c r="F19" s="6">
        <f t="shared" si="3"/>
        <v>0.020127744</v>
      </c>
      <c r="G19" s="3">
        <v>49</v>
      </c>
      <c r="H19" s="2">
        <v>1031</v>
      </c>
      <c r="I19" s="2">
        <v>448</v>
      </c>
      <c r="J19" s="6">
        <f t="shared" ref="J19:J22" si="4">G19*H19*I19/1000000000</f>
        <v>0.022632512</v>
      </c>
      <c r="K19" s="3">
        <v>49</v>
      </c>
      <c r="L19" s="2">
        <v>1031</v>
      </c>
      <c r="M19" s="2">
        <v>448</v>
      </c>
      <c r="N19" s="6">
        <f t="shared" ref="N19:N22" si="5">K19*L19*M19/1000000000</f>
        <v>0.022632512</v>
      </c>
      <c r="O19" s="8"/>
    </row>
    <row r="20" spans="1:15">
      <c r="A20" s="3" t="s">
        <v>44</v>
      </c>
      <c r="B20" s="3" t="s">
        <v>46</v>
      </c>
      <c r="C20" s="3"/>
      <c r="D20" s="2"/>
      <c r="E20" s="2"/>
      <c r="F20" s="6"/>
      <c r="G20" s="3"/>
      <c r="H20" s="2"/>
      <c r="I20" s="2"/>
      <c r="J20" s="6"/>
      <c r="K20" s="3"/>
      <c r="L20" s="2"/>
      <c r="M20" s="2"/>
      <c r="N20" s="6"/>
      <c r="O20" s="8"/>
    </row>
    <row r="21" spans="1:15">
      <c r="A21" s="3" t="s">
        <v>47</v>
      </c>
      <c r="B21" s="3" t="s">
        <v>46</v>
      </c>
      <c r="C21" s="7"/>
      <c r="D21" s="7"/>
      <c r="E21" s="2"/>
      <c r="F21" s="6">
        <f t="shared" si="3"/>
        <v>0</v>
      </c>
      <c r="G21" s="7"/>
      <c r="H21" s="7"/>
      <c r="I21" s="2"/>
      <c r="J21" s="6"/>
      <c r="K21" s="7"/>
      <c r="L21" s="7"/>
      <c r="M21" s="2"/>
      <c r="N21" s="6"/>
      <c r="O21" s="8"/>
    </row>
    <row r="22" spans="1:15">
      <c r="A22" s="3" t="s">
        <v>48</v>
      </c>
      <c r="B22" s="3" t="s">
        <v>46</v>
      </c>
      <c r="C22" s="7">
        <v>26</v>
      </c>
      <c r="D22" s="7">
        <v>7911</v>
      </c>
      <c r="E22" s="3">
        <v>448</v>
      </c>
      <c r="F22" s="6">
        <f t="shared" si="3"/>
        <v>0.092147328</v>
      </c>
      <c r="G22" s="7">
        <v>26</v>
      </c>
      <c r="H22" s="7">
        <v>7911</v>
      </c>
      <c r="I22" s="3">
        <v>448</v>
      </c>
      <c r="J22" s="6">
        <f t="shared" si="4"/>
        <v>0.092147328</v>
      </c>
      <c r="K22" s="7">
        <v>26</v>
      </c>
      <c r="L22" s="7">
        <v>7911</v>
      </c>
      <c r="M22" s="3">
        <v>448</v>
      </c>
      <c r="N22" s="6">
        <f t="shared" si="5"/>
        <v>0.092147328</v>
      </c>
      <c r="O22" s="8"/>
    </row>
    <row r="23" spans="1:15">
      <c r="A23" s="2" t="s">
        <v>45</v>
      </c>
      <c r="B23" s="3"/>
      <c r="C23" s="3"/>
      <c r="D23" s="3"/>
      <c r="E23" s="2"/>
      <c r="F23" s="6">
        <f>SUM(F18:F22)</f>
        <v>0.183450176</v>
      </c>
      <c r="G23" s="3"/>
      <c r="H23" s="3"/>
      <c r="I23" s="2"/>
      <c r="J23" s="6">
        <f>SUM(J18:J22)</f>
        <v>0.17948448</v>
      </c>
      <c r="K23" s="3"/>
      <c r="L23" s="3"/>
      <c r="M23" s="2"/>
      <c r="N23" s="6">
        <f>SUM(N18:N22)</f>
        <v>0.1771736</v>
      </c>
      <c r="O23" s="8">
        <v>0.5402</v>
      </c>
    </row>
    <row r="24" spans="1:15">
      <c r="A24" s="2" t="s">
        <v>37</v>
      </c>
      <c r="B24" s="3" t="s">
        <v>49</v>
      </c>
      <c r="C24" s="3">
        <v>1.5</v>
      </c>
      <c r="D24" s="2">
        <v>4444</v>
      </c>
      <c r="E24" s="2">
        <v>616</v>
      </c>
      <c r="F24" s="6">
        <f t="shared" ref="F24:F26" si="6">C24*D24*E24/1000000000</f>
        <v>0.004106256</v>
      </c>
      <c r="G24" s="3">
        <v>1.5</v>
      </c>
      <c r="H24" s="2">
        <v>4444</v>
      </c>
      <c r="I24" s="2">
        <v>560</v>
      </c>
      <c r="J24" s="6">
        <f t="shared" ref="J24:J26" si="7">G24*H24*I24/1000000000</f>
        <v>0.00373296</v>
      </c>
      <c r="K24" s="3">
        <v>1.5</v>
      </c>
      <c r="L24" s="2">
        <v>4444</v>
      </c>
      <c r="M24" s="2">
        <v>540</v>
      </c>
      <c r="N24" s="6">
        <f t="shared" ref="N24:N26" si="8">K24*L24*M24/1000000000</f>
        <v>0.00359964</v>
      </c>
      <c r="O24" s="8"/>
    </row>
    <row r="25" spans="1:15">
      <c r="A25" s="3" t="s">
        <v>43</v>
      </c>
      <c r="B25" s="3" t="s">
        <v>49</v>
      </c>
      <c r="C25" s="3">
        <v>1.5</v>
      </c>
      <c r="D25" s="2">
        <v>735</v>
      </c>
      <c r="E25" s="2">
        <v>448</v>
      </c>
      <c r="F25" s="6">
        <f t="shared" si="6"/>
        <v>0.00049392</v>
      </c>
      <c r="G25" s="3">
        <v>1.5</v>
      </c>
      <c r="H25" s="2">
        <v>735</v>
      </c>
      <c r="I25" s="2">
        <v>448</v>
      </c>
      <c r="J25" s="6">
        <f t="shared" si="7"/>
        <v>0.00049392</v>
      </c>
      <c r="K25" s="3">
        <v>1.5</v>
      </c>
      <c r="L25" s="2">
        <v>735</v>
      </c>
      <c r="M25" s="2">
        <v>448</v>
      </c>
      <c r="N25" s="6">
        <f t="shared" si="8"/>
        <v>0.00049392</v>
      </c>
      <c r="O25" s="8"/>
    </row>
    <row r="26" spans="1:15">
      <c r="A26" s="3" t="s">
        <v>44</v>
      </c>
      <c r="B26" s="3" t="s">
        <v>49</v>
      </c>
      <c r="C26" s="3"/>
      <c r="D26" s="2"/>
      <c r="E26" s="2"/>
      <c r="F26" s="6"/>
      <c r="G26" s="3"/>
      <c r="H26" s="2"/>
      <c r="I26" s="2"/>
      <c r="J26" s="6"/>
      <c r="K26" s="3"/>
      <c r="L26" s="2"/>
      <c r="M26" s="2"/>
      <c r="N26" s="6"/>
      <c r="O26" s="8"/>
    </row>
    <row r="27" spans="1:15">
      <c r="A27" s="3" t="s">
        <v>45</v>
      </c>
      <c r="B27" s="3"/>
      <c r="C27" s="3"/>
      <c r="D27" s="3"/>
      <c r="E27" s="2"/>
      <c r="F27" s="6">
        <f>SUM(F24:F26)</f>
        <v>0.004600176</v>
      </c>
      <c r="G27" s="3"/>
      <c r="H27" s="3"/>
      <c r="I27" s="2"/>
      <c r="J27" s="6">
        <f>SUM(J24:J26)</f>
        <v>0.00422688</v>
      </c>
      <c r="K27" s="3"/>
      <c r="L27" s="3"/>
      <c r="M27" s="2"/>
      <c r="N27" s="6">
        <f>SUM(N24:N26)</f>
        <v>0.00409356</v>
      </c>
      <c r="O27" s="8">
        <f>SUM(F27+J27+N27)</f>
        <v>0.012920616</v>
      </c>
    </row>
    <row r="28" spans="1:15">
      <c r="A28" s="7" t="s">
        <v>50</v>
      </c>
      <c r="B28" s="7" t="s">
        <v>51</v>
      </c>
      <c r="C28" s="7">
        <v>2.95</v>
      </c>
      <c r="D28" s="7">
        <v>4858</v>
      </c>
      <c r="E28" s="3">
        <v>252</v>
      </c>
      <c r="F28" s="6">
        <f>C28*D28*E28/1000000000</f>
        <v>0.0036114372</v>
      </c>
      <c r="G28" s="7">
        <v>2.95</v>
      </c>
      <c r="H28" s="7">
        <v>4858</v>
      </c>
      <c r="I28" s="3">
        <v>234</v>
      </c>
      <c r="J28" s="6">
        <f>I28*H28*G28/1000000000</f>
        <v>0.0033534774</v>
      </c>
      <c r="K28" s="7">
        <v>2.95</v>
      </c>
      <c r="L28" s="7">
        <v>4858</v>
      </c>
      <c r="M28" s="3">
        <v>234</v>
      </c>
      <c r="N28" s="6">
        <f>M28*L28*K28/1000000000</f>
        <v>0.0033534774</v>
      </c>
      <c r="O28" s="8"/>
    </row>
    <row r="29" spans="1:15">
      <c r="A29" s="7" t="s">
        <v>37</v>
      </c>
      <c r="B29" s="7" t="s">
        <v>51</v>
      </c>
      <c r="C29" s="7">
        <v>43.8</v>
      </c>
      <c r="D29" s="2">
        <v>4444</v>
      </c>
      <c r="E29" s="7">
        <v>616</v>
      </c>
      <c r="F29" s="6">
        <f t="shared" ref="F28:F32" si="9">C29*D29*E29/1000000000</f>
        <v>0.1199026752</v>
      </c>
      <c r="G29" s="7">
        <v>43.8</v>
      </c>
      <c r="H29" s="2">
        <v>4444</v>
      </c>
      <c r="I29" s="7">
        <v>560</v>
      </c>
      <c r="J29" s="8">
        <f t="shared" ref="J29:J32" si="10">G29*H29*I29/1000000000</f>
        <v>0.109002432</v>
      </c>
      <c r="K29" s="7">
        <v>43.8</v>
      </c>
      <c r="L29" s="2">
        <v>4444</v>
      </c>
      <c r="M29" s="7">
        <v>540</v>
      </c>
      <c r="N29" s="8">
        <f t="shared" ref="N29:N32" si="11">K29*L29*M29/1000000000</f>
        <v>0.105109488</v>
      </c>
      <c r="O29" s="8"/>
    </row>
    <row r="30" spans="1:15">
      <c r="A30" s="3" t="s">
        <v>45</v>
      </c>
      <c r="B30" s="7"/>
      <c r="C30" s="7"/>
      <c r="D30" s="7"/>
      <c r="E30" s="7"/>
      <c r="F30" s="8">
        <f>SUM(F28:F29)</f>
        <v>0.1235141124</v>
      </c>
      <c r="G30" s="7"/>
      <c r="H30" s="7"/>
      <c r="I30" s="7"/>
      <c r="J30" s="8">
        <f>SUM(J28:J29)</f>
        <v>0.1123559094</v>
      </c>
      <c r="K30" s="7"/>
      <c r="L30" s="7"/>
      <c r="M30" s="7"/>
      <c r="N30" s="8">
        <f>SUM(N28:N29)</f>
        <v>0.1084629654</v>
      </c>
      <c r="O30" s="8">
        <v>0.3444</v>
      </c>
    </row>
    <row r="31" spans="1:15">
      <c r="A31" s="3" t="s">
        <v>47</v>
      </c>
      <c r="B31" s="3" t="s">
        <v>20</v>
      </c>
      <c r="C31" s="7">
        <v>3.81</v>
      </c>
      <c r="D31" s="7">
        <v>1686</v>
      </c>
      <c r="E31" s="7">
        <v>448</v>
      </c>
      <c r="F31" s="8">
        <f t="shared" si="9"/>
        <v>0.00287779968</v>
      </c>
      <c r="G31" s="7">
        <v>3.81</v>
      </c>
      <c r="H31" s="7">
        <v>1686</v>
      </c>
      <c r="I31" s="7">
        <v>448</v>
      </c>
      <c r="J31" s="8">
        <f t="shared" si="10"/>
        <v>0.00287779968</v>
      </c>
      <c r="K31" s="7">
        <v>3.81</v>
      </c>
      <c r="L31" s="7">
        <v>1686</v>
      </c>
      <c r="M31" s="7">
        <v>448</v>
      </c>
      <c r="N31" s="8">
        <f t="shared" si="11"/>
        <v>0.00287779968</v>
      </c>
      <c r="O31" s="8"/>
    </row>
    <row r="32" spans="1:15">
      <c r="A32" s="3" t="s">
        <v>48</v>
      </c>
      <c r="B32" s="3" t="s">
        <v>20</v>
      </c>
      <c r="C32" s="7">
        <v>3.21</v>
      </c>
      <c r="D32" s="7">
        <v>7911</v>
      </c>
      <c r="E32" s="7">
        <v>448</v>
      </c>
      <c r="F32" s="8">
        <f t="shared" si="9"/>
        <v>0.01137665088</v>
      </c>
      <c r="G32" s="7">
        <v>3.21</v>
      </c>
      <c r="H32" s="7">
        <v>7911</v>
      </c>
      <c r="I32" s="7">
        <v>448</v>
      </c>
      <c r="J32" s="8">
        <f t="shared" si="10"/>
        <v>0.01137665088</v>
      </c>
      <c r="K32" s="7">
        <v>3.21</v>
      </c>
      <c r="L32" s="7">
        <v>7911</v>
      </c>
      <c r="M32" s="7">
        <v>448</v>
      </c>
      <c r="N32" s="8">
        <f t="shared" si="11"/>
        <v>0.01137665088</v>
      </c>
      <c r="O32" s="8"/>
    </row>
    <row r="33" spans="1:15">
      <c r="A33" s="3" t="s">
        <v>52</v>
      </c>
      <c r="B33" s="7"/>
      <c r="C33" s="7"/>
      <c r="D33" s="7"/>
      <c r="E33" s="7"/>
      <c r="F33" s="8">
        <f>SUM(F31:F32)</f>
        <v>0.01425445056</v>
      </c>
      <c r="G33" s="7"/>
      <c r="H33" s="7"/>
      <c r="I33" s="7"/>
      <c r="J33" s="8">
        <f>SUM(J31:J32)</f>
        <v>0.01425445056</v>
      </c>
      <c r="K33" s="7"/>
      <c r="L33" s="7"/>
      <c r="M33" s="7"/>
      <c r="N33" s="8">
        <f>SUM(N31:N32)</f>
        <v>0.01425445056</v>
      </c>
      <c r="O33" s="8">
        <v>0.0429</v>
      </c>
    </row>
    <row r="34" spans="1:15">
      <c r="A34" s="3" t="s">
        <v>48</v>
      </c>
      <c r="B34" s="3" t="s">
        <v>53</v>
      </c>
      <c r="C34" s="7">
        <v>4.1</v>
      </c>
      <c r="D34" s="7">
        <v>7911</v>
      </c>
      <c r="E34" s="7">
        <v>448</v>
      </c>
      <c r="F34" s="8">
        <f>C34*D34*E34/1000000000</f>
        <v>0.0145309248</v>
      </c>
      <c r="G34" s="7">
        <v>4.1</v>
      </c>
      <c r="H34" s="7">
        <v>7911</v>
      </c>
      <c r="I34" s="7">
        <v>448</v>
      </c>
      <c r="J34" s="8">
        <f>G34*H34*I34/1000000000</f>
        <v>0.0145309248</v>
      </c>
      <c r="K34" s="7">
        <v>4.1</v>
      </c>
      <c r="L34" s="7">
        <v>7911</v>
      </c>
      <c r="M34" s="7">
        <v>448</v>
      </c>
      <c r="N34" s="8">
        <f>K34*L34*M34/1000000000</f>
        <v>0.0145309248</v>
      </c>
      <c r="O34" s="8"/>
    </row>
    <row r="35" spans="1:15">
      <c r="A35" s="3" t="s">
        <v>45</v>
      </c>
      <c r="B35" s="3"/>
      <c r="C35" s="7"/>
      <c r="D35" s="7"/>
      <c r="E35" s="7"/>
      <c r="F35" s="8">
        <f>SUM(F34:F34)</f>
        <v>0.0145309248</v>
      </c>
      <c r="G35" s="7"/>
      <c r="H35" s="7"/>
      <c r="I35" s="7"/>
      <c r="J35" s="8">
        <f>SUM(J34:J34)</f>
        <v>0.0145309248</v>
      </c>
      <c r="K35" s="7"/>
      <c r="L35" s="7"/>
      <c r="M35" s="7"/>
      <c r="N35" s="8">
        <f>SUM(N34:N34)</f>
        <v>0.0145309248</v>
      </c>
      <c r="O35" s="8">
        <v>0.0435</v>
      </c>
    </row>
  </sheetData>
  <mergeCells count="6">
    <mergeCell ref="A2:O2"/>
    <mergeCell ref="C3:F3"/>
    <mergeCell ref="G3:J3"/>
    <mergeCell ref="K3:N3"/>
    <mergeCell ref="A3:A4"/>
    <mergeCell ref="B3:B4"/>
  </mergeCells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废水</vt:lpstr>
      <vt:lpstr>废气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张岩</cp:lastModifiedBy>
  <dcterms:created xsi:type="dcterms:W3CDTF">2021-08-12T05:42:00Z</dcterms:created>
  <dcterms:modified xsi:type="dcterms:W3CDTF">2024-01-10T05:33:17Z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  <property fmtid="{D5CDD505-2E9C-101B-9397-08002B2CF9AE}" pid="3" name="ICV">
    <vt:lpwstr>ABFA383FE37E413BB80DDC4427B60B8F</vt:lpwstr>
  </property>
</Properties>
</file>